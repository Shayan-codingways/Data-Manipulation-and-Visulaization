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la Laptops\Desktop\shayan\Excel\"/>
    </mc:Choice>
  </mc:AlternateContent>
  <xr:revisionPtr revIDLastSave="0" documentId="13_ncr:1_{349C09CE-A04F-482A-AE05-FCAFA8713EEF}" xr6:coauthVersionLast="47" xr6:coauthVersionMax="47" xr10:uidLastSave="{00000000-0000-0000-0000-000000000000}"/>
  <bookViews>
    <workbookView xWindow="-103" yWindow="-103" windowWidth="22149" windowHeight="11949" xr2:uid="{859F7A70-4189-47D8-B44F-6D021C76A0EF}"/>
  </bookViews>
  <sheets>
    <sheet name="Sheet1" sheetId="1" r:id="rId1"/>
    <sheet name="Formulae" sheetId="2" r:id="rId2"/>
    <sheet name="Formulae Details" sheetId="3" r:id="rId3"/>
  </sheets>
  <definedNames>
    <definedName name="matrix">Sheet1!$E$63:$F$65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3" i="1" l="1"/>
  <c r="B93" i="1"/>
  <c r="C91" i="1"/>
  <c r="B91" i="1"/>
  <c r="C87" i="1"/>
  <c r="B87" i="1"/>
  <c r="C85" i="1"/>
  <c r="B85" i="1"/>
  <c r="A85" i="1"/>
  <c r="C43" i="1" a="1"/>
  <c r="C43" i="1" s="1"/>
  <c r="B43" i="1"/>
  <c r="D43" i="1" s="1"/>
  <c r="H26" i="1" a="1"/>
  <c r="H26" i="1" s="1"/>
  <c r="G26" i="1"/>
  <c r="C60" i="1"/>
  <c r="J27" i="1"/>
  <c r="J28" i="1"/>
  <c r="J29" i="1"/>
  <c r="J30" i="1"/>
  <c r="J31" i="1"/>
  <c r="J32" i="1"/>
  <c r="J33" i="1"/>
  <c r="J34" i="1"/>
  <c r="J35" i="1"/>
  <c r="J36" i="1"/>
  <c r="J37" i="1"/>
  <c r="J26" i="1"/>
  <c r="F26" i="1"/>
  <c r="D26" i="1"/>
  <c r="E26" i="1"/>
  <c r="B26" i="1"/>
  <c r="C92" i="2"/>
  <c r="B92" i="2"/>
  <c r="C88" i="2"/>
  <c r="B88" i="2"/>
  <c r="C87" i="2"/>
  <c r="B87" i="2"/>
  <c r="C86" i="2"/>
  <c r="B86" i="2"/>
  <c r="C85" i="2"/>
  <c r="B85" i="2"/>
  <c r="A85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C70" i="2"/>
  <c r="C69" i="2"/>
  <c r="C68" i="2"/>
  <c r="C67" i="2"/>
  <c r="C66" i="2"/>
  <c r="C65" i="2"/>
  <c r="C64" i="2"/>
  <c r="C63" i="2"/>
  <c r="C62" i="2"/>
  <c r="C53" i="2"/>
  <c r="C53" i="2" a="1"/>
  <c r="B53" i="2"/>
  <c r="D53" i="2" s="1"/>
  <c r="C52" i="2"/>
  <c r="C52" i="2" a="1"/>
  <c r="B52" i="2"/>
  <c r="D52" i="2" s="1"/>
  <c r="C51" i="2"/>
  <c r="C51" i="2" a="1"/>
  <c r="B51" i="2"/>
  <c r="D51" i="2" s="1"/>
  <c r="C50" i="2"/>
  <c r="C50" i="2" a="1"/>
  <c r="B50" i="2"/>
  <c r="D50" i="2" s="1"/>
  <c r="C49" i="2"/>
  <c r="C49" i="2" a="1"/>
  <c r="B49" i="2"/>
  <c r="D49" i="2" s="1"/>
  <c r="C48" i="2"/>
  <c r="C48" i="2" a="1"/>
  <c r="B48" i="2"/>
  <c r="D48" i="2" s="1"/>
  <c r="C47" i="2"/>
  <c r="C47" i="2" a="1"/>
  <c r="B47" i="2"/>
  <c r="D47" i="2" s="1"/>
  <c r="C46" i="2"/>
  <c r="C46" i="2" a="1"/>
  <c r="B46" i="2"/>
  <c r="D46" i="2" s="1"/>
  <c r="C45" i="2"/>
  <c r="C45" i="2" a="1"/>
  <c r="B45" i="2"/>
  <c r="D45" i="2" s="1"/>
  <c r="C44" i="2"/>
  <c r="C44" i="2" a="1"/>
  <c r="B44" i="2"/>
  <c r="D44" i="2" s="1"/>
  <c r="C43" i="2"/>
  <c r="C43" i="2" a="1"/>
  <c r="B43" i="2"/>
  <c r="D43" i="2" s="1"/>
  <c r="A43" i="2"/>
  <c r="I37" i="2"/>
  <c r="I37" i="2" a="1"/>
  <c r="H37" i="2" a="1"/>
  <c r="H37" i="2" s="1"/>
  <c r="I36" i="2"/>
  <c r="I36" i="2" a="1"/>
  <c r="H36" i="2" a="1"/>
  <c r="H36" i="2" s="1"/>
  <c r="G36" i="2"/>
  <c r="F36" i="2"/>
  <c r="D36" i="2"/>
  <c r="C36" i="2"/>
  <c r="B36" i="2"/>
  <c r="I35" i="2" a="1"/>
  <c r="I35" i="2" s="1"/>
  <c r="H35" i="2" a="1"/>
  <c r="H35" i="2" s="1"/>
  <c r="G35" i="2"/>
  <c r="F35" i="2"/>
  <c r="E35" i="2"/>
  <c r="D35" i="2"/>
  <c r="C35" i="2"/>
  <c r="B35" i="2"/>
  <c r="I34" i="2" a="1"/>
  <c r="I34" i="2" s="1"/>
  <c r="H34" i="2" a="1"/>
  <c r="H34" i="2" s="1"/>
  <c r="G34" i="2"/>
  <c r="F34" i="2"/>
  <c r="E34" i="2"/>
  <c r="D34" i="2"/>
  <c r="C34" i="2"/>
  <c r="B34" i="2"/>
  <c r="I33" i="2" a="1"/>
  <c r="I33" i="2" s="1"/>
  <c r="H33" i="2" a="1"/>
  <c r="H33" i="2" s="1"/>
  <c r="G33" i="2"/>
  <c r="F33" i="2"/>
  <c r="E33" i="2"/>
  <c r="D33" i="2"/>
  <c r="C33" i="2"/>
  <c r="B33" i="2"/>
  <c r="I32" i="2" a="1"/>
  <c r="I32" i="2" s="1"/>
  <c r="H32" i="2" a="1"/>
  <c r="H32" i="2" s="1"/>
  <c r="G32" i="2"/>
  <c r="F32" i="2"/>
  <c r="E32" i="2"/>
  <c r="D32" i="2"/>
  <c r="C32" i="2"/>
  <c r="B32" i="2"/>
  <c r="I31" i="2" a="1"/>
  <c r="I31" i="2" s="1"/>
  <c r="H31" i="2" a="1"/>
  <c r="H31" i="2" s="1"/>
  <c r="G31" i="2"/>
  <c r="F31" i="2"/>
  <c r="E31" i="2"/>
  <c r="D31" i="2"/>
  <c r="C31" i="2"/>
  <c r="B31" i="2"/>
  <c r="I30" i="2" a="1"/>
  <c r="I30" i="2" s="1"/>
  <c r="H30" i="2" a="1"/>
  <c r="H30" i="2" s="1"/>
  <c r="G30" i="2"/>
  <c r="F30" i="2"/>
  <c r="E30" i="2"/>
  <c r="D30" i="2"/>
  <c r="C30" i="2"/>
  <c r="B30" i="2"/>
  <c r="I29" i="2" a="1"/>
  <c r="I29" i="2" s="1"/>
  <c r="H29" i="2" a="1"/>
  <c r="H29" i="2" s="1"/>
  <c r="G29" i="2"/>
  <c r="F29" i="2"/>
  <c r="E29" i="2"/>
  <c r="D29" i="2"/>
  <c r="C29" i="2"/>
  <c r="B29" i="2"/>
  <c r="I28" i="2" a="1"/>
  <c r="I28" i="2" s="1"/>
  <c r="H28" i="2" a="1"/>
  <c r="H28" i="2" s="1"/>
  <c r="G28" i="2"/>
  <c r="F28" i="2"/>
  <c r="E28" i="2"/>
  <c r="D28" i="2"/>
  <c r="C28" i="2"/>
  <c r="B28" i="2"/>
  <c r="I27" i="2" a="1"/>
  <c r="I27" i="2" s="1"/>
  <c r="H27" i="2" a="1"/>
  <c r="H27" i="2" s="1"/>
  <c r="G27" i="2"/>
  <c r="F27" i="2"/>
  <c r="D27" i="2"/>
  <c r="C27" i="2"/>
  <c r="B27" i="2"/>
  <c r="E37" i="2" s="1"/>
  <c r="I26" i="2" a="1"/>
  <c r="I26" i="2" s="1"/>
  <c r="H26" i="2" a="1"/>
  <c r="H26" i="2" s="1"/>
  <c r="G26" i="2"/>
  <c r="F26" i="2"/>
  <c r="D26" i="2"/>
  <c r="C26" i="2"/>
  <c r="B26" i="2"/>
  <c r="E36" i="2" s="1"/>
  <c r="A26" i="2"/>
  <c r="E26" i="2" s="1"/>
  <c r="N19" i="2"/>
  <c r="M19" i="2"/>
  <c r="L19" i="2"/>
  <c r="K19" i="2"/>
  <c r="J19" i="2"/>
  <c r="I19" i="2"/>
  <c r="H19" i="2"/>
  <c r="G19" i="2"/>
  <c r="F19" i="2"/>
  <c r="E19" i="2"/>
  <c r="D19" i="2"/>
  <c r="Q19" i="2" s="1"/>
  <c r="C19" i="2"/>
  <c r="P19" i="2" s="1"/>
  <c r="N18" i="2"/>
  <c r="M18" i="2"/>
  <c r="L18" i="2"/>
  <c r="K18" i="2"/>
  <c r="J18" i="2"/>
  <c r="I18" i="2"/>
  <c r="H18" i="2"/>
  <c r="G18" i="2"/>
  <c r="F18" i="2"/>
  <c r="E18" i="2"/>
  <c r="D18" i="2"/>
  <c r="C18" i="2"/>
  <c r="A60" i="2" s="1" a="1"/>
  <c r="Q16" i="2"/>
  <c r="P16" i="2"/>
  <c r="Q15" i="2"/>
  <c r="P15" i="2"/>
  <c r="Q14" i="2"/>
  <c r="P14" i="2"/>
  <c r="Q13" i="2"/>
  <c r="P13" i="2"/>
  <c r="Q12" i="2"/>
  <c r="P12" i="2"/>
  <c r="Q11" i="2"/>
  <c r="P11" i="2"/>
  <c r="Q10" i="2"/>
  <c r="P10" i="2"/>
  <c r="Q9" i="2"/>
  <c r="P9" i="2"/>
  <c r="Q8" i="2"/>
  <c r="P8" i="2"/>
  <c r="Q7" i="2"/>
  <c r="Q18" i="2" s="1"/>
  <c r="P7" i="2"/>
  <c r="P18" i="2" s="1"/>
  <c r="B7" i="2"/>
  <c r="C61" i="2" s="1"/>
  <c r="Q6" i="2"/>
  <c r="P6" i="2"/>
  <c r="B6" i="2"/>
  <c r="C60" i="2" s="1"/>
  <c r="N4" i="2"/>
  <c r="M4" i="2"/>
  <c r="L4" i="2"/>
  <c r="K4" i="2"/>
  <c r="J4" i="2"/>
  <c r="I4" i="2"/>
  <c r="H4" i="2"/>
  <c r="G4" i="2"/>
  <c r="F4" i="2"/>
  <c r="E4" i="2"/>
  <c r="D4" i="2"/>
  <c r="C4" i="2"/>
  <c r="F27" i="1"/>
  <c r="F28" i="1"/>
  <c r="F29" i="1"/>
  <c r="F30" i="1"/>
  <c r="F31" i="1"/>
  <c r="F32" i="1"/>
  <c r="F33" i="1"/>
  <c r="F34" i="1"/>
  <c r="F35" i="1"/>
  <c r="F36" i="1"/>
  <c r="E28" i="1"/>
  <c r="E29" i="1"/>
  <c r="E30" i="1"/>
  <c r="E31" i="1"/>
  <c r="E32" i="1"/>
  <c r="E33" i="1"/>
  <c r="E34" i="1"/>
  <c r="E35" i="1"/>
  <c r="C76" i="1"/>
  <c r="D76" i="1"/>
  <c r="E76" i="1"/>
  <c r="F76" i="1"/>
  <c r="G76" i="1"/>
  <c r="H76" i="1"/>
  <c r="I76" i="1"/>
  <c r="J76" i="1"/>
  <c r="K76" i="1"/>
  <c r="L76" i="1"/>
  <c r="M76" i="1"/>
  <c r="B76" i="1"/>
  <c r="A76" i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26" i="1" a="1"/>
  <c r="I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G27" i="1"/>
  <c r="G28" i="1"/>
  <c r="G29" i="1"/>
  <c r="G30" i="1"/>
  <c r="G31" i="1"/>
  <c r="G32" i="1"/>
  <c r="G33" i="1"/>
  <c r="G34" i="1"/>
  <c r="G35" i="1"/>
  <c r="G36" i="1"/>
  <c r="C62" i="1"/>
  <c r="C63" i="1"/>
  <c r="C64" i="1"/>
  <c r="C65" i="1"/>
  <c r="C66" i="1"/>
  <c r="C67" i="1"/>
  <c r="C68" i="1"/>
  <c r="C69" i="1"/>
  <c r="C70" i="1"/>
  <c r="B7" i="1"/>
  <c r="C61" i="1" s="1"/>
  <c r="B6" i="1"/>
  <c r="D27" i="1"/>
  <c r="D28" i="1"/>
  <c r="D29" i="1"/>
  <c r="D30" i="1"/>
  <c r="D31" i="1"/>
  <c r="D32" i="1"/>
  <c r="D33" i="1"/>
  <c r="D34" i="1"/>
  <c r="D35" i="1"/>
  <c r="D36" i="1"/>
  <c r="E36" i="1"/>
  <c r="C27" i="1"/>
  <c r="C28" i="1"/>
  <c r="C29" i="1"/>
  <c r="C30" i="1"/>
  <c r="C31" i="1"/>
  <c r="C32" i="1"/>
  <c r="C33" i="1"/>
  <c r="C34" i="1"/>
  <c r="C35" i="1"/>
  <c r="C36" i="1"/>
  <c r="C26" i="1"/>
  <c r="B27" i="1"/>
  <c r="B28" i="1"/>
  <c r="B29" i="1"/>
  <c r="B30" i="1"/>
  <c r="B31" i="1"/>
  <c r="B32" i="1"/>
  <c r="B33" i="1"/>
  <c r="B34" i="1"/>
  <c r="B35" i="1"/>
  <c r="B36" i="1"/>
  <c r="A26" i="1"/>
  <c r="B45" i="1"/>
  <c r="D45" i="1" s="1"/>
  <c r="B46" i="1"/>
  <c r="D46" i="1" s="1"/>
  <c r="B47" i="1"/>
  <c r="C47" i="1" s="1" a="1"/>
  <c r="C47" i="1" s="1"/>
  <c r="B48" i="1"/>
  <c r="C48" i="1" s="1" a="1"/>
  <c r="C48" i="1" s="1"/>
  <c r="B49" i="1"/>
  <c r="D49" i="1" s="1"/>
  <c r="B50" i="1"/>
  <c r="D50" i="1" s="1"/>
  <c r="B51" i="1"/>
  <c r="D51" i="1" s="1"/>
  <c r="B52" i="1"/>
  <c r="C52" i="1" s="1" a="1"/>
  <c r="C52" i="1" s="1"/>
  <c r="B53" i="1"/>
  <c r="C53" i="1" s="1" a="1"/>
  <c r="C53" i="1" s="1"/>
  <c r="B44" i="1"/>
  <c r="C44" i="1" s="1" a="1"/>
  <c r="C44" i="1" s="1"/>
  <c r="A43" i="1"/>
  <c r="D19" i="1"/>
  <c r="E19" i="1"/>
  <c r="F19" i="1"/>
  <c r="G19" i="1"/>
  <c r="H19" i="1"/>
  <c r="I19" i="1"/>
  <c r="J19" i="1"/>
  <c r="K19" i="1"/>
  <c r="L19" i="1"/>
  <c r="M19" i="1"/>
  <c r="N19" i="1"/>
  <c r="C19" i="1"/>
  <c r="Q7" i="1"/>
  <c r="Q8" i="1"/>
  <c r="Q9" i="1"/>
  <c r="Q10" i="1"/>
  <c r="Q11" i="1"/>
  <c r="Q12" i="1"/>
  <c r="Q13" i="1"/>
  <c r="Q14" i="1"/>
  <c r="Q15" i="1"/>
  <c r="Q16" i="1"/>
  <c r="Q6" i="1"/>
  <c r="P7" i="1"/>
  <c r="P8" i="1"/>
  <c r="P9" i="1"/>
  <c r="P10" i="1"/>
  <c r="P11" i="1"/>
  <c r="P12" i="1"/>
  <c r="P13" i="1"/>
  <c r="P14" i="1"/>
  <c r="P15" i="1"/>
  <c r="P16" i="1"/>
  <c r="P6" i="1"/>
  <c r="C18" i="1"/>
  <c r="C4" i="1"/>
  <c r="D18" i="1"/>
  <c r="E18" i="1"/>
  <c r="F18" i="1"/>
  <c r="G18" i="1"/>
  <c r="H18" i="1"/>
  <c r="I18" i="1"/>
  <c r="J18" i="1"/>
  <c r="K18" i="1"/>
  <c r="L18" i="1"/>
  <c r="M18" i="1"/>
  <c r="N18" i="1"/>
  <c r="E4" i="1"/>
  <c r="F4" i="1"/>
  <c r="G4" i="1"/>
  <c r="H4" i="1"/>
  <c r="I4" i="1"/>
  <c r="J4" i="1"/>
  <c r="K4" i="1"/>
  <c r="L4" i="1"/>
  <c r="M4" i="1"/>
  <c r="N4" i="1"/>
  <c r="D4" i="1"/>
  <c r="B71" i="2" l="1"/>
  <c r="B69" i="2"/>
  <c r="B67" i="2"/>
  <c r="B65" i="2"/>
  <c r="B63" i="2"/>
  <c r="B61" i="2"/>
  <c r="B70" i="2"/>
  <c r="B68" i="2"/>
  <c r="B66" i="2"/>
  <c r="B64" i="2"/>
  <c r="B62" i="2"/>
  <c r="A60" i="2"/>
  <c r="B60" i="2" s="1"/>
  <c r="E27" i="2"/>
  <c r="E37" i="1"/>
  <c r="E27" i="1"/>
  <c r="C45" i="1" a="1"/>
  <c r="C45" i="1" s="1"/>
  <c r="D44" i="1"/>
  <c r="A60" i="1" a="1"/>
  <c r="B65" i="1" s="1"/>
  <c r="D52" i="1"/>
  <c r="D48" i="1"/>
  <c r="B61" i="1"/>
  <c r="C51" i="1" a="1"/>
  <c r="C51" i="1" s="1"/>
  <c r="Q18" i="1"/>
  <c r="C50" i="1" a="1"/>
  <c r="C50" i="1" s="1"/>
  <c r="D47" i="1"/>
  <c r="C49" i="1" a="1"/>
  <c r="C49" i="1" s="1"/>
  <c r="C46" i="1" a="1"/>
  <c r="C46" i="1" s="1"/>
  <c r="D53" i="1"/>
  <c r="P19" i="1"/>
  <c r="Q19" i="1"/>
  <c r="P18" i="1"/>
  <c r="B70" i="1" l="1"/>
  <c r="B71" i="1"/>
  <c r="B66" i="1"/>
  <c r="B63" i="1"/>
  <c r="A60" i="1"/>
  <c r="B60" i="1" s="1"/>
  <c r="B68" i="1"/>
  <c r="B62" i="1"/>
  <c r="B69" i="1"/>
  <c r="B67" i="1"/>
  <c r="B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<sst xmlns="http://schemas.openxmlformats.org/spreadsheetml/2006/main" count="178" uniqueCount="71">
  <si>
    <t>Total</t>
  </si>
  <si>
    <t>Expenses</t>
  </si>
  <si>
    <t>Water</t>
  </si>
  <si>
    <t>Entertainment</t>
  </si>
  <si>
    <t>Medical</t>
  </si>
  <si>
    <t>Dining</t>
  </si>
  <si>
    <t>Phone</t>
  </si>
  <si>
    <t>Grocery</t>
  </si>
  <si>
    <t>Travel</t>
  </si>
  <si>
    <t>Home maintenance</t>
  </si>
  <si>
    <t>Others</t>
  </si>
  <si>
    <t>Year 2021 Expense Tracker</t>
  </si>
  <si>
    <t>Average</t>
  </si>
  <si>
    <t xml:space="preserve">Gas </t>
  </si>
  <si>
    <t xml:space="preserve">  </t>
  </si>
  <si>
    <t>Question: find highest of expenses</t>
  </si>
  <si>
    <t>Highest Value</t>
  </si>
  <si>
    <t>month</t>
  </si>
  <si>
    <t>MAX_VALUE Column / month</t>
  </si>
  <si>
    <t>by text function</t>
  </si>
  <si>
    <t xml:space="preserve"> position of max value by match</t>
  </si>
  <si>
    <t xml:space="preserve"> by index</t>
  </si>
  <si>
    <t>use of index/match/max/text</t>
  </si>
  <si>
    <t>sumif</t>
  </si>
  <si>
    <t>count</t>
  </si>
  <si>
    <t>doesn't count null</t>
  </si>
  <si>
    <t>avgif</t>
  </si>
  <si>
    <t>Use of Functions</t>
  </si>
  <si>
    <t>sumifs</t>
  </si>
  <si>
    <t>averageifs</t>
  </si>
  <si>
    <t>ifs</t>
  </si>
  <si>
    <t>low</t>
  </si>
  <si>
    <t>medium</t>
  </si>
  <si>
    <t>high</t>
  </si>
  <si>
    <t>Total monthly expense</t>
  </si>
  <si>
    <t>Vlookup</t>
  </si>
  <si>
    <t>Bills in 4th month</t>
  </si>
  <si>
    <t>if/ does individual expense gets over 5000</t>
  </si>
  <si>
    <t>Concatenation</t>
  </si>
  <si>
    <t>Sum</t>
  </si>
  <si>
    <t>average</t>
  </si>
  <si>
    <t>Macros</t>
  </si>
  <si>
    <t>Macros are applied by refrencing from the column of expenses taken. Click on expense and apply macro to get sum and average</t>
  </si>
  <si>
    <t>Explanation of Formulae Used and Where</t>
  </si>
  <si>
    <t xml:space="preserve">Sum </t>
  </si>
  <si>
    <t>Sumifs</t>
  </si>
  <si>
    <t>Averageifs</t>
  </si>
  <si>
    <t>Countifs</t>
  </si>
  <si>
    <t>If</t>
  </si>
  <si>
    <t>Ifs</t>
  </si>
  <si>
    <t>Match</t>
  </si>
  <si>
    <t>Index</t>
  </si>
  <si>
    <t>Trim</t>
  </si>
  <si>
    <t>Concatenate</t>
  </si>
  <si>
    <t>Spaklines</t>
  </si>
  <si>
    <t>Used in column P and row 18 to sum up the total indivdual annual expense and total monthly expenses respectively</t>
  </si>
  <si>
    <t>Used in column Q and row 19 to find average of the indivdual annual expense and monthly expenses respectively</t>
  </si>
  <si>
    <t>Sumif has been used in B26:B36 to sum monthly expenses if greater paticularindividual expense exceeds 5600 / Sumifs used in E26:E36 to find out specific expense amount only if exceeding 5000</t>
  </si>
  <si>
    <t>Averageif/ifs has been used in D26:D36/F26:F36 to average indvidual annual expenses if greater than 5000 in any month</t>
  </si>
  <si>
    <t>Countif</t>
  </si>
  <si>
    <t>Countif used in F26:F36 counts rows only if the entry of a row for a particular month exceeds 500</t>
  </si>
  <si>
    <t xml:space="preserve">Inserted in Row 18 and Column O to show variation of monthly and annual individual expense respectively. </t>
  </si>
  <si>
    <t>Macro has been assigned to a button and has a shortcult ctrl+b which has refrenence of expenses mentioned in column F85 onwards, it finds annual total and average of a expense</t>
  </si>
  <si>
    <t>Concatenation is done in Row 76 to find total monthly expense of dining and medical</t>
  </si>
  <si>
    <t>Trim used in cell B6 to trim white spaces</t>
  </si>
  <si>
    <t xml:space="preserve">B60:B71 to categorize the total montly expense as either high, medium, low / C60:C71 expense value in 4th month. </t>
  </si>
  <si>
    <t>G26:G36, checking that expense rates for Jan 21 exceed 5000 or not</t>
  </si>
  <si>
    <t xml:space="preserve">H26:H37 checking if total annual expense rate exceed 80000 with 2 conditions. Also applied in I26:I37 </t>
  </si>
  <si>
    <t xml:space="preserve">B43:B53 match used to find position of max rate of expense in whole year 2021, the position eventually gave us the month. </t>
  </si>
  <si>
    <t>Question: find highest of expenses Annually</t>
  </si>
  <si>
    <t xml:space="preserve">C43:C45 index was used to find the value of the maximum expense rate in 2021.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</si>
</sst>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s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"/>
      <color theme="1"/>
      <name val="Comic Sans MS"/>
      <family val="4"/>
    </font>
    <font>
      <sz val="11"/>
      <color theme="1"/>
      <name val="Comic Sans MS"/>
      <family val="4"/>
    </font>
    <font>
      <sz val="6"/>
      <color rgb="FF333435"/>
      <name val="Arial"/>
      <family val="2"/>
    </font>
    <font>
      <b/>
      <sz val="18"/>
      <color rgb="FF002060"/>
      <name val="Comic Sans MS"/>
      <family val="4"/>
    </font>
    <font>
      <b/>
      <sz val="11"/>
      <color rgb="FF0070C0"/>
      <name val="Comic Sans MS"/>
      <family val="4"/>
    </font>
  </fonts>
  <fills count="7">
    <fill>
      <patternFill patternType="none"/>
    </fill>
    <fill>
      <patternFill patternType="gray125"/>
    </fill>
    <fill>
      <patternFill patternType="solid">
        <fgColor rgb="FF6FE0F7"/>
        <bgColor indexed="64"/>
      </patternFill>
    </fill>
    <fill>
      <patternFill patternType="solid">
        <fgColor rgb="FF00C0B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C0B7"/>
      </left>
      <right style="medium">
        <color rgb="FF00C0B7"/>
      </right>
      <top style="medium">
        <color rgb="FF00C0B7"/>
      </top>
      <bottom/>
      <diagonal/>
    </border>
    <border>
      <left style="medium">
        <color rgb="FF00C0B7"/>
      </left>
      <right style="medium">
        <color rgb="FF00C0B7"/>
      </right>
      <top/>
      <bottom style="medium">
        <color rgb="FF00C0B7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rgb="FF00C0B7"/>
      </right>
      <top style="medium">
        <color rgb="FF00C0B7"/>
      </top>
      <bottom style="thin">
        <color indexed="64"/>
      </bottom>
      <diagonal/>
    </border>
    <border>
      <left style="medium">
        <color rgb="FF00C0B7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C0B7"/>
      </right>
      <top style="thin">
        <color indexed="64"/>
      </top>
      <bottom style="medium">
        <color rgb="FF00C0B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slantDashDot">
        <color indexed="64"/>
      </right>
      <top/>
      <bottom/>
      <diagonal/>
    </border>
    <border>
      <left/>
      <right style="slantDashDot">
        <color indexed="64"/>
      </right>
      <top/>
      <bottom style="double">
        <color indexed="64"/>
      </bottom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5">
    <xf numFmtId="0" fontId="0" fillId="0" borderId="0" xfId="0"/>
    <xf numFmtId="17" fontId="0" fillId="0" borderId="0" xfId="0" applyNumberFormat="1"/>
    <xf numFmtId="17" fontId="0" fillId="2" borderId="3" xfId="0" applyNumberFormat="1" applyFill="1" applyBorder="1"/>
    <xf numFmtId="0" fontId="0" fillId="3" borderId="0" xfId="0" applyFill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/>
    <xf numFmtId="17" fontId="0" fillId="4" borderId="0" xfId="0" applyNumberFormat="1" applyFill="1"/>
    <xf numFmtId="164" fontId="0" fillId="3" borderId="10" xfId="0" applyNumberFormat="1" applyFill="1" applyBorder="1"/>
    <xf numFmtId="164" fontId="0" fillId="2" borderId="1" xfId="1" applyNumberFormat="1" applyFont="1" applyFill="1" applyBorder="1"/>
    <xf numFmtId="164" fontId="0" fillId="0" borderId="0" xfId="0" applyNumberFormat="1"/>
    <xf numFmtId="0" fontId="0" fillId="4" borderId="12" xfId="0" applyFill="1" applyBorder="1"/>
    <xf numFmtId="0" fontId="0" fillId="4" borderId="14" xfId="0" applyFill="1" applyBorder="1"/>
    <xf numFmtId="0" fontId="3" fillId="3" borderId="18" xfId="0" applyFont="1" applyFill="1" applyBorder="1" applyAlignment="1">
      <alignment horizontal="center"/>
    </xf>
    <xf numFmtId="164" fontId="0" fillId="3" borderId="19" xfId="0" applyNumberFormat="1" applyFill="1" applyBorder="1"/>
    <xf numFmtId="0" fontId="0" fillId="4" borderId="13" xfId="0" applyFill="1" applyBorder="1" applyAlignment="1">
      <alignment horizontal="center"/>
    </xf>
    <xf numFmtId="164" fontId="0" fillId="2" borderId="20" xfId="0" applyNumberFormat="1" applyFill="1" applyBorder="1"/>
    <xf numFmtId="17" fontId="0" fillId="0" borderId="3" xfId="0" applyNumberFormat="1" applyBorder="1"/>
    <xf numFmtId="0" fontId="0" fillId="5" borderId="5" xfId="0" applyFill="1" applyBorder="1"/>
    <xf numFmtId="0" fontId="0" fillId="5" borderId="2" xfId="0" applyFill="1" applyBorder="1"/>
    <xf numFmtId="0" fontId="5" fillId="0" borderId="0" xfId="0" applyFont="1"/>
    <xf numFmtId="17" fontId="0" fillId="4" borderId="3" xfId="0" applyNumberFormat="1" applyFill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164" fontId="0" fillId="2" borderId="1" xfId="0" applyNumberFormat="1" applyFill="1" applyBorder="1"/>
    <xf numFmtId="0" fontId="3" fillId="0" borderId="0" xfId="0" applyFont="1" applyAlignment="1">
      <alignment horizontal="center"/>
    </xf>
    <xf numFmtId="0" fontId="4" fillId="0" borderId="0" xfId="0" applyFont="1"/>
    <xf numFmtId="0" fontId="7" fillId="6" borderId="23" xfId="0" applyFont="1" applyFill="1" applyBorder="1"/>
    <xf numFmtId="0" fontId="7" fillId="6" borderId="21" xfId="0" applyFont="1" applyFill="1" applyBorder="1"/>
    <xf numFmtId="0" fontId="7" fillId="6" borderId="2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0" borderId="0" xfId="0"/>
    <xf numFmtId="0" fontId="0" fillId="4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5" borderId="5" xfId="0" applyFill="1" applyBorder="1"/>
    <xf numFmtId="0" fontId="0" fillId="5" borderId="7" xfId="0" applyFill="1" applyBorder="1"/>
    <xf numFmtId="0" fontId="0" fillId="5" borderId="0" xfId="0" applyFill="1"/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0" borderId="24" xfId="0" applyFont="1" applyBorder="1"/>
    <xf numFmtId="0" fontId="4" fillId="0" borderId="25" xfId="0" applyFont="1" applyBorder="1"/>
    <xf numFmtId="0" fontId="4" fillId="0" borderId="26" xfId="0" applyFont="1" applyBorder="1"/>
    <xf numFmtId="0" fontId="6" fillId="6" borderId="0" xfId="0" applyFont="1" applyFill="1" applyAlignment="1">
      <alignment horizontal="center"/>
    </xf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FE0F7"/>
      <color rgb="FF48E2E2"/>
      <color rgb="FF00C0B7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196727</xdr:colOff>
      <xdr:row>86</xdr:row>
      <xdr:rowOff>59018</xdr:rowOff>
    </xdr:from>
    <xdr:to>
      <xdr:col>4</xdr:col>
      <xdr:colOff>504939</xdr:colOff>
      <xdr:row>88</xdr:row>
      <xdr:rowOff>26230</xdr:rowOff>
    </xdr:to>
    <xdr:sp macro="[0]!Macro3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CBC16DE-6714-35F9-4D54-DD646F5E504D}"/>
            </a:ext>
          </a:extLst>
        </xdr:cNvPr>
        <xdr:cNvSpPr/>
      </xdr:nvSpPr>
      <xdr:spPr>
        <a:xfrm>
          <a:off x="3449326" y="18604078"/>
          <a:ext cx="1134477" cy="465594"/>
        </a:xfrm>
        <a:prstGeom prst="flowChartAlternateProcess">
          <a:avLst/>
        </a:prstGeom>
        <a:solidFill>
          <a:srgbClr val="00C0B7"/>
        </a:solidFill>
        <a:ln>
          <a:solidFill>
            <a:srgbClr val="6FE0F7"/>
          </a:solidFill>
        </a:ln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kern="1200">
              <a:solidFill>
                <a:srgbClr val="48E2E2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rPr>
            <a:t>Macro</a:t>
          </a:r>
          <a:endParaRPr lang="en-PK" sz="1600" kern="1200">
            <a:solidFill>
              <a:srgbClr val="48E2E2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Comic Sans MS" panose="030F07020303020202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196727</xdr:colOff>
      <xdr:row>86</xdr:row>
      <xdr:rowOff>59018</xdr:rowOff>
    </xdr:from>
    <xdr:to>
      <xdr:col>4</xdr:col>
      <xdr:colOff>504939</xdr:colOff>
      <xdr:row>88</xdr:row>
      <xdr:rowOff>26230</xdr:rowOff>
    </xdr:to>
    <xdr:sp macro="[0]!Macro8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61D1042A-BE94-471D-8D4B-BE9692DB3A61}"/>
            </a:ext>
          </a:extLst>
        </xdr:cNvPr>
        <xdr:cNvSpPr/>
      </xdr:nvSpPr>
      <xdr:spPr>
        <a:xfrm>
          <a:off x="3674713" y="18624604"/>
          <a:ext cx="1696140" cy="467955"/>
        </a:xfrm>
        <a:prstGeom prst="flowChartAlternateProcess">
          <a:avLst/>
        </a:prstGeom>
        <a:solidFill>
          <a:srgbClr val="00C0B7"/>
        </a:solidFill>
        <a:ln>
          <a:solidFill>
            <a:srgbClr val="6FE0F7"/>
          </a:solidFill>
        </a:ln>
        <a:effectLst>
          <a:glow rad="139700">
            <a:schemeClr val="accent5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kern="1200">
              <a:solidFill>
                <a:srgbClr val="48E2E2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  <a:latin typeface="Comic Sans MS" panose="030F0702030302020204" pitchFamily="66" charset="0"/>
            </a:rPr>
            <a:t>Macro</a:t>
          </a:r>
          <a:endParaRPr lang="en-PK" sz="1600" kern="1200">
            <a:solidFill>
              <a:srgbClr val="48E2E2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Comic Sans MS" panose="030F0702030302020204" pitchFamily="66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CFB2A-3FDC-42A6-8B04-4716B30822CA}">
  <sheetPr codeName="Sheet1"/>
  <dimension ref="A1:AD98"/>
  <sheetViews>
    <sheetView tabSelected="1" topLeftCell="A75" zoomScale="73" zoomScaleNormal="100" workbookViewId="0">
      <selection activeCell="A94" sqref="A94"/>
    </sheetView>
  </sheetViews>
  <sheetFormatPr defaultRowHeight="14.6" x14ac:dyDescent="0.4"/>
  <cols>
    <col min="1" max="1" width="14.23046875" customWidth="1"/>
    <col min="2" max="2" width="20.61328125" customWidth="1"/>
    <col min="3" max="3" width="14.3046875" customWidth="1"/>
    <col min="4" max="4" width="19.61328125" bestFit="1" customWidth="1"/>
    <col min="5" max="5" width="24.69140625" bestFit="1" customWidth="1"/>
    <col min="6" max="6" width="15.84375" customWidth="1"/>
    <col min="7" max="7" width="11.23046875" bestFit="1" customWidth="1"/>
    <col min="8" max="8" width="16.84375" customWidth="1"/>
    <col min="9" max="9" width="16.765625" customWidth="1"/>
    <col min="10" max="10" width="14.765625" customWidth="1"/>
    <col min="11" max="11" width="13.61328125" customWidth="1"/>
    <col min="12" max="12" width="12.3828125" customWidth="1"/>
    <col min="13" max="13" width="13.23046875" bestFit="1" customWidth="1"/>
    <col min="14" max="14" width="15.53515625" customWidth="1"/>
    <col min="16" max="16" width="14.07421875" customWidth="1"/>
    <col min="17" max="17" width="13.15234375" customWidth="1"/>
    <col min="19" max="19" width="19.3046875" customWidth="1"/>
  </cols>
  <sheetData>
    <row r="1" spans="2:30" ht="15" thickBot="1" x14ac:dyDescent="0.45"/>
    <row r="2" spans="2:30" x14ac:dyDescent="0.4">
      <c r="B2" s="31" t="s">
        <v>11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12"/>
    </row>
    <row r="3" spans="2:30" ht="15" thickBot="1" x14ac:dyDescent="0.45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3"/>
    </row>
    <row r="4" spans="2:30" ht="15" thickBot="1" x14ac:dyDescent="0.45">
      <c r="B4" s="46" t="s">
        <v>1</v>
      </c>
      <c r="C4" s="6">
        <f>MONTH(C5)</f>
        <v>1</v>
      </c>
      <c r="D4" s="6">
        <f>MONTH(D5)</f>
        <v>2</v>
      </c>
      <c r="E4" s="6">
        <f t="shared" ref="E4:N4" si="0">MONTH(E5)</f>
        <v>3</v>
      </c>
      <c r="F4" s="6">
        <f t="shared" si="0"/>
        <v>4</v>
      </c>
      <c r="G4" s="6">
        <f t="shared" si="0"/>
        <v>5</v>
      </c>
      <c r="H4" s="6">
        <f t="shared" si="0"/>
        <v>6</v>
      </c>
      <c r="I4" s="6">
        <f t="shared" si="0"/>
        <v>7</v>
      </c>
      <c r="J4" s="6">
        <f t="shared" si="0"/>
        <v>8</v>
      </c>
      <c r="K4" s="6">
        <f t="shared" si="0"/>
        <v>9</v>
      </c>
      <c r="L4" s="6">
        <f t="shared" si="0"/>
        <v>10</v>
      </c>
      <c r="M4" s="6">
        <f t="shared" si="0"/>
        <v>11</v>
      </c>
      <c r="N4" s="6">
        <f t="shared" si="0"/>
        <v>12</v>
      </c>
      <c r="O4" s="7"/>
      <c r="P4" s="48" t="s">
        <v>0</v>
      </c>
      <c r="Q4" s="35" t="s">
        <v>12</v>
      </c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</row>
    <row r="5" spans="2:30" ht="15.45" thickTop="1" thickBot="1" x14ac:dyDescent="0.45">
      <c r="B5" s="47"/>
      <c r="C5" s="2">
        <v>44197</v>
      </c>
      <c r="D5" s="2">
        <v>44228</v>
      </c>
      <c r="E5" s="2">
        <v>44256</v>
      </c>
      <c r="F5" s="2">
        <v>44287</v>
      </c>
      <c r="G5" s="2">
        <v>44317</v>
      </c>
      <c r="H5" s="2">
        <v>44348</v>
      </c>
      <c r="I5" s="2">
        <v>44378</v>
      </c>
      <c r="J5" s="2">
        <v>44409</v>
      </c>
      <c r="K5" s="2">
        <v>44440</v>
      </c>
      <c r="L5" s="2">
        <v>44470</v>
      </c>
      <c r="M5" s="2">
        <v>44501</v>
      </c>
      <c r="N5" s="2">
        <v>44531</v>
      </c>
      <c r="O5" s="8"/>
      <c r="P5" s="49"/>
      <c r="Q5" s="35"/>
    </row>
    <row r="6" spans="2:30" ht="19.75" x14ac:dyDescent="0.65">
      <c r="B6" s="14" t="str">
        <f>TRIM("  Electricity  ")</f>
        <v>Electricity</v>
      </c>
      <c r="C6" s="5">
        <v>7000</v>
      </c>
      <c r="D6" s="5">
        <v>8000</v>
      </c>
      <c r="E6" s="5">
        <v>9000</v>
      </c>
      <c r="F6" s="5">
        <v>3000</v>
      </c>
      <c r="G6" s="5">
        <v>3700</v>
      </c>
      <c r="H6" s="5">
        <v>5600</v>
      </c>
      <c r="I6" s="5">
        <v>13000</v>
      </c>
      <c r="J6" s="5">
        <v>9000</v>
      </c>
      <c r="K6" s="5">
        <v>7580</v>
      </c>
      <c r="L6" s="5">
        <v>2600</v>
      </c>
      <c r="M6" s="5">
        <v>1950</v>
      </c>
      <c r="N6" s="5">
        <v>1820</v>
      </c>
      <c r="O6" s="7"/>
      <c r="P6" s="9">
        <f>SUM(C6:N6)</f>
        <v>72250</v>
      </c>
      <c r="Q6" s="15">
        <f>AVERAGE(C6:N6)</f>
        <v>6020.833333333333</v>
      </c>
    </row>
    <row r="7" spans="2:30" ht="19.75" x14ac:dyDescent="0.65">
      <c r="B7" s="14" t="str">
        <f>TRIM("  Gas  ")</f>
        <v>Gas</v>
      </c>
      <c r="C7" s="5">
        <v>1070</v>
      </c>
      <c r="D7" s="5">
        <v>1120</v>
      </c>
      <c r="E7" s="5">
        <v>800</v>
      </c>
      <c r="F7" s="5">
        <v>1300</v>
      </c>
      <c r="G7" s="5">
        <v>1000</v>
      </c>
      <c r="H7" s="5">
        <v>950</v>
      </c>
      <c r="I7" s="5">
        <v>817</v>
      </c>
      <c r="J7" s="5">
        <v>972</v>
      </c>
      <c r="K7" s="5">
        <v>980</v>
      </c>
      <c r="L7" s="5">
        <v>768</v>
      </c>
      <c r="M7" s="5">
        <v>1023</v>
      </c>
      <c r="N7" s="5">
        <v>1203</v>
      </c>
      <c r="O7" s="7"/>
      <c r="P7" s="9">
        <f t="shared" ref="P7:P16" si="1">SUM(C7:N7)</f>
        <v>12003</v>
      </c>
      <c r="Q7" s="15">
        <f t="shared" ref="Q7:Q16" si="2">AVERAGE(C7:N7)</f>
        <v>1000.25</v>
      </c>
    </row>
    <row r="8" spans="2:30" ht="19.75" x14ac:dyDescent="0.65">
      <c r="B8" s="14" t="s">
        <v>2</v>
      </c>
      <c r="C8" s="5">
        <v>700</v>
      </c>
      <c r="D8" s="5">
        <v>700</v>
      </c>
      <c r="E8" s="5">
        <v>700</v>
      </c>
      <c r="F8" s="5">
        <v>700</v>
      </c>
      <c r="G8" s="5">
        <v>700</v>
      </c>
      <c r="H8" s="5">
        <v>700</v>
      </c>
      <c r="I8" s="5">
        <v>700</v>
      </c>
      <c r="J8" s="5">
        <v>700</v>
      </c>
      <c r="K8" s="5">
        <v>700</v>
      </c>
      <c r="L8" s="5">
        <v>700</v>
      </c>
      <c r="M8" s="5">
        <v>700</v>
      </c>
      <c r="N8" s="5">
        <v>700</v>
      </c>
      <c r="O8" s="7"/>
      <c r="P8" s="9">
        <f>SUM(C8:N8)</f>
        <v>8400</v>
      </c>
      <c r="Q8" s="15">
        <f>AVERAGE(C8:N8)</f>
        <v>700</v>
      </c>
    </row>
    <row r="9" spans="2:30" ht="19.75" x14ac:dyDescent="0.65">
      <c r="B9" s="14" t="s">
        <v>3</v>
      </c>
      <c r="C9" s="5">
        <v>8000</v>
      </c>
      <c r="D9" s="5">
        <v>15000</v>
      </c>
      <c r="E9" s="5">
        <v>9000</v>
      </c>
      <c r="F9" s="5">
        <v>7500</v>
      </c>
      <c r="G9" s="5">
        <v>2000</v>
      </c>
      <c r="H9" s="5">
        <v>3500</v>
      </c>
      <c r="I9" s="5">
        <v>2100</v>
      </c>
      <c r="J9" s="5">
        <v>18000</v>
      </c>
      <c r="K9" s="5">
        <v>6000</v>
      </c>
      <c r="L9" s="5">
        <v>5400</v>
      </c>
      <c r="M9" s="5">
        <v>2330</v>
      </c>
      <c r="N9" s="5">
        <v>2300</v>
      </c>
      <c r="O9" s="7"/>
      <c r="P9" s="9">
        <f t="shared" si="1"/>
        <v>81130</v>
      </c>
      <c r="Q9" s="15">
        <f t="shared" si="2"/>
        <v>6760.833333333333</v>
      </c>
    </row>
    <row r="10" spans="2:30" ht="19.75" x14ac:dyDescent="0.65">
      <c r="B10" s="14" t="s">
        <v>4</v>
      </c>
      <c r="C10" s="5">
        <v>1000</v>
      </c>
      <c r="D10" s="5">
        <v>1300</v>
      </c>
      <c r="E10" s="5">
        <v>1250</v>
      </c>
      <c r="F10" s="5">
        <v>1460</v>
      </c>
      <c r="G10" s="5">
        <v>1750</v>
      </c>
      <c r="H10" s="5">
        <v>1000</v>
      </c>
      <c r="I10" s="5">
        <v>1000</v>
      </c>
      <c r="J10" s="5">
        <v>1000</v>
      </c>
      <c r="K10" s="5">
        <v>1389</v>
      </c>
      <c r="L10" s="5">
        <v>2000</v>
      </c>
      <c r="M10" s="5">
        <v>2340</v>
      </c>
      <c r="N10" s="5">
        <v>1000</v>
      </c>
      <c r="O10" s="7"/>
      <c r="P10" s="9">
        <f t="shared" si="1"/>
        <v>16489</v>
      </c>
      <c r="Q10" s="15">
        <f t="shared" si="2"/>
        <v>1374.0833333333333</v>
      </c>
    </row>
    <row r="11" spans="2:30" ht="19.75" x14ac:dyDescent="0.65">
      <c r="B11" s="14" t="s">
        <v>5</v>
      </c>
      <c r="C11" s="5">
        <v>0</v>
      </c>
      <c r="D11" s="5">
        <v>12000</v>
      </c>
      <c r="E11" s="5">
        <v>8000</v>
      </c>
      <c r="F11" s="5">
        <v>23230</v>
      </c>
      <c r="G11" s="5">
        <v>0</v>
      </c>
      <c r="H11" s="5">
        <v>0</v>
      </c>
      <c r="I11" s="5">
        <v>7800</v>
      </c>
      <c r="J11" s="5">
        <v>8000</v>
      </c>
      <c r="K11" s="5">
        <v>9602</v>
      </c>
      <c r="L11" s="5">
        <v>2830</v>
      </c>
      <c r="M11" s="5">
        <v>2340</v>
      </c>
      <c r="N11" s="5">
        <v>0</v>
      </c>
      <c r="O11" s="7"/>
      <c r="P11" s="9">
        <f t="shared" si="1"/>
        <v>73802</v>
      </c>
      <c r="Q11" s="15">
        <f t="shared" si="2"/>
        <v>6150.166666666667</v>
      </c>
    </row>
    <row r="12" spans="2:30" ht="19.75" x14ac:dyDescent="0.65">
      <c r="B12" s="14" t="s">
        <v>6</v>
      </c>
      <c r="C12" s="5">
        <v>1500</v>
      </c>
      <c r="D12" s="5">
        <v>1500</v>
      </c>
      <c r="E12" s="5">
        <v>1500</v>
      </c>
      <c r="F12" s="5">
        <v>1500</v>
      </c>
      <c r="G12" s="5">
        <v>1500</v>
      </c>
      <c r="H12" s="5">
        <v>1500</v>
      </c>
      <c r="I12" s="5">
        <v>1500</v>
      </c>
      <c r="J12" s="5">
        <v>1500</v>
      </c>
      <c r="K12" s="5">
        <v>1500</v>
      </c>
      <c r="L12" s="5">
        <v>1500</v>
      </c>
      <c r="M12" s="5">
        <v>1500</v>
      </c>
      <c r="N12" s="5">
        <v>1500</v>
      </c>
      <c r="O12" s="7"/>
      <c r="P12" s="9">
        <f t="shared" si="1"/>
        <v>18000</v>
      </c>
      <c r="Q12" s="15">
        <f t="shared" si="2"/>
        <v>1500</v>
      </c>
    </row>
    <row r="13" spans="2:30" ht="19.75" x14ac:dyDescent="0.65">
      <c r="B13" s="14" t="s">
        <v>7</v>
      </c>
      <c r="C13" s="5">
        <v>25670</v>
      </c>
      <c r="D13" s="5">
        <v>24900</v>
      </c>
      <c r="E13" s="5">
        <v>30193</v>
      </c>
      <c r="F13" s="5">
        <v>23000</v>
      </c>
      <c r="G13" s="5">
        <v>35000</v>
      </c>
      <c r="H13" s="5">
        <v>18000</v>
      </c>
      <c r="I13" s="5">
        <v>26700</v>
      </c>
      <c r="J13" s="5">
        <v>24000</v>
      </c>
      <c r="K13" s="5">
        <v>23789</v>
      </c>
      <c r="L13" s="5">
        <v>29000</v>
      </c>
      <c r="M13" s="5">
        <v>38000</v>
      </c>
      <c r="N13" s="5">
        <v>27889</v>
      </c>
      <c r="O13" s="7"/>
      <c r="P13" s="9">
        <f t="shared" si="1"/>
        <v>326141</v>
      </c>
      <c r="Q13" s="15">
        <f t="shared" si="2"/>
        <v>27178.416666666668</v>
      </c>
    </row>
    <row r="14" spans="2:30" ht="19.75" x14ac:dyDescent="0.65">
      <c r="B14" s="14" t="s">
        <v>8</v>
      </c>
      <c r="C14" s="5">
        <v>25900</v>
      </c>
      <c r="D14" s="5">
        <v>23566</v>
      </c>
      <c r="E14" s="5">
        <v>32300</v>
      </c>
      <c r="F14" s="5">
        <v>32583</v>
      </c>
      <c r="G14" s="5">
        <v>21000</v>
      </c>
      <c r="H14" s="5">
        <v>23123</v>
      </c>
      <c r="I14" s="5">
        <v>24516</v>
      </c>
      <c r="J14" s="5">
        <v>35269</v>
      </c>
      <c r="K14" s="5">
        <v>23781</v>
      </c>
      <c r="L14" s="5">
        <v>23723</v>
      </c>
      <c r="M14" s="5">
        <v>23771</v>
      </c>
      <c r="N14" s="5">
        <v>23421</v>
      </c>
      <c r="O14" s="7"/>
      <c r="P14" s="9">
        <f t="shared" si="1"/>
        <v>312953</v>
      </c>
      <c r="Q14" s="15">
        <f t="shared" si="2"/>
        <v>26079.416666666668</v>
      </c>
    </row>
    <row r="15" spans="2:30" ht="19.75" x14ac:dyDescent="0.65">
      <c r="B15" s="14" t="s">
        <v>9</v>
      </c>
      <c r="C15" s="5">
        <v>5000</v>
      </c>
      <c r="D15" s="5">
        <v>5000</v>
      </c>
      <c r="E15" s="5">
        <v>5000</v>
      </c>
      <c r="F15" s="5">
        <v>5000</v>
      </c>
      <c r="G15" s="5">
        <v>5000</v>
      </c>
      <c r="H15" s="5">
        <v>5000</v>
      </c>
      <c r="I15" s="5">
        <v>5000</v>
      </c>
      <c r="J15" s="5">
        <v>5000</v>
      </c>
      <c r="K15" s="5">
        <v>5000</v>
      </c>
      <c r="L15" s="5">
        <v>5000</v>
      </c>
      <c r="M15" s="5">
        <v>5000</v>
      </c>
      <c r="N15" s="5">
        <v>5000</v>
      </c>
      <c r="O15" s="7"/>
      <c r="P15" s="9">
        <f t="shared" si="1"/>
        <v>60000</v>
      </c>
      <c r="Q15" s="15">
        <f t="shared" si="2"/>
        <v>5000</v>
      </c>
    </row>
    <row r="16" spans="2:30" ht="19.75" x14ac:dyDescent="0.65">
      <c r="B16" s="14" t="s">
        <v>10</v>
      </c>
      <c r="C16" s="5">
        <v>4500</v>
      </c>
      <c r="D16" s="5">
        <v>12300</v>
      </c>
      <c r="E16" s="5">
        <v>2356</v>
      </c>
      <c r="F16" s="5">
        <v>23459</v>
      </c>
      <c r="G16" s="5">
        <v>8389</v>
      </c>
      <c r="H16" s="5"/>
      <c r="I16" s="5">
        <v>9907</v>
      </c>
      <c r="J16" s="5">
        <v>3882</v>
      </c>
      <c r="K16" s="5">
        <v>3848</v>
      </c>
      <c r="L16" s="5">
        <v>2939</v>
      </c>
      <c r="M16" s="5">
        <v>2838</v>
      </c>
      <c r="N16" s="5">
        <v>2838</v>
      </c>
      <c r="O16" s="7"/>
      <c r="P16" s="9">
        <f t="shared" si="1"/>
        <v>77256</v>
      </c>
      <c r="Q16" s="15">
        <f t="shared" si="2"/>
        <v>7023.272727272727</v>
      </c>
    </row>
    <row r="17" spans="1:17" x14ac:dyDescent="0.4">
      <c r="B17" s="1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1:17" ht="16.75" x14ac:dyDescent="0.55000000000000004">
      <c r="B18" s="23" t="s">
        <v>0</v>
      </c>
      <c r="C18" s="10">
        <f t="shared" ref="C18:N18" si="3">SUM(C6:C17)</f>
        <v>80340</v>
      </c>
      <c r="D18" s="10">
        <f t="shared" si="3"/>
        <v>105386</v>
      </c>
      <c r="E18" s="10">
        <f t="shared" si="3"/>
        <v>100099</v>
      </c>
      <c r="F18" s="10">
        <f t="shared" si="3"/>
        <v>122732</v>
      </c>
      <c r="G18" s="10">
        <f t="shared" si="3"/>
        <v>80039</v>
      </c>
      <c r="H18" s="10">
        <f t="shared" si="3"/>
        <v>59373</v>
      </c>
      <c r="I18" s="10">
        <f t="shared" si="3"/>
        <v>93040</v>
      </c>
      <c r="J18" s="10">
        <f t="shared" si="3"/>
        <v>107323</v>
      </c>
      <c r="K18" s="10">
        <f t="shared" si="3"/>
        <v>84169</v>
      </c>
      <c r="L18" s="10">
        <f t="shared" si="3"/>
        <v>76460</v>
      </c>
      <c r="M18" s="10">
        <f t="shared" si="3"/>
        <v>81792</v>
      </c>
      <c r="N18" s="10">
        <f t="shared" si="3"/>
        <v>67671</v>
      </c>
      <c r="O18" s="7"/>
      <c r="P18" s="25">
        <f>SUM(P6:P17)</f>
        <v>1058424</v>
      </c>
      <c r="Q18" s="25">
        <f>SUM(Q6:Q16)</f>
        <v>88787.272727272721</v>
      </c>
    </row>
    <row r="19" spans="1:17" ht="17.149999999999999" thickBot="1" x14ac:dyDescent="0.45">
      <c r="B19" s="24" t="s">
        <v>12</v>
      </c>
      <c r="C19" s="17">
        <f>AVERAGE(C6:C16)</f>
        <v>7303.636363636364</v>
      </c>
      <c r="D19" s="17">
        <f t="shared" ref="D19:N19" si="4">AVERAGE(D6:D16)</f>
        <v>9580.545454545454</v>
      </c>
      <c r="E19" s="17">
        <f t="shared" si="4"/>
        <v>9099.9090909090901</v>
      </c>
      <c r="F19" s="17">
        <f t="shared" si="4"/>
        <v>11157.454545454546</v>
      </c>
      <c r="G19" s="17">
        <f t="shared" si="4"/>
        <v>7276.272727272727</v>
      </c>
      <c r="H19" s="17">
        <f t="shared" si="4"/>
        <v>5937.3</v>
      </c>
      <c r="I19" s="17">
        <f t="shared" si="4"/>
        <v>8458.181818181818</v>
      </c>
      <c r="J19" s="17">
        <f t="shared" si="4"/>
        <v>9756.636363636364</v>
      </c>
      <c r="K19" s="17">
        <f t="shared" si="4"/>
        <v>7651.727272727273</v>
      </c>
      <c r="L19" s="17">
        <f t="shared" si="4"/>
        <v>6950.909090909091</v>
      </c>
      <c r="M19" s="17">
        <f t="shared" si="4"/>
        <v>7435.636363636364</v>
      </c>
      <c r="N19" s="17">
        <f t="shared" si="4"/>
        <v>6151.909090909091</v>
      </c>
      <c r="O19" s="7"/>
      <c r="P19" s="25">
        <f>SUM(C19:N19)</f>
        <v>96760.118181818179</v>
      </c>
      <c r="Q19" s="6">
        <f>AVERAGE(C19:N19)</f>
        <v>8063.3431818181816</v>
      </c>
    </row>
    <row r="21" spans="1:17" x14ac:dyDescent="0.4">
      <c r="J21" t="s">
        <v>14</v>
      </c>
    </row>
    <row r="22" spans="1:17" x14ac:dyDescent="0.4">
      <c r="F22" s="1">
        <v>44378</v>
      </c>
      <c r="M22" s="11"/>
    </row>
    <row r="23" spans="1:17" x14ac:dyDescent="0.4">
      <c r="B23" s="36"/>
      <c r="C23" s="36"/>
      <c r="D23" s="36"/>
      <c r="E23" s="36"/>
      <c r="F23" s="36"/>
      <c r="G23" s="36"/>
      <c r="H23" s="36"/>
      <c r="I23" s="36"/>
      <c r="J23" s="36"/>
      <c r="K23" s="36"/>
      <c r="M23" s="11"/>
    </row>
    <row r="24" spans="1:17" ht="18.45" x14ac:dyDescent="0.5">
      <c r="B24" s="38" t="s">
        <v>27</v>
      </c>
      <c r="C24" s="38"/>
      <c r="D24" s="38"/>
      <c r="E24" s="38"/>
      <c r="F24" s="38"/>
      <c r="G24" s="38"/>
      <c r="H24" s="38"/>
      <c r="I24" s="38"/>
      <c r="J24" s="38"/>
    </row>
    <row r="25" spans="1:17" x14ac:dyDescent="0.4">
      <c r="B25" s="7" t="s">
        <v>23</v>
      </c>
      <c r="C25" s="7" t="s">
        <v>24</v>
      </c>
      <c r="D25" s="7" t="s">
        <v>26</v>
      </c>
      <c r="E25" s="7" t="s">
        <v>28</v>
      </c>
      <c r="F25" s="7" t="s">
        <v>29</v>
      </c>
      <c r="G25" s="7" t="s">
        <v>37</v>
      </c>
      <c r="H25" s="7" t="s">
        <v>30</v>
      </c>
      <c r="I25" s="7"/>
      <c r="J25" s="7" t="s">
        <v>59</v>
      </c>
    </row>
    <row r="26" spans="1:17" ht="19.75" x14ac:dyDescent="0.65">
      <c r="A26" s="14" t="str">
        <f>TRIM("  Electricity  ")</f>
        <v>Electricity</v>
      </c>
      <c r="B26">
        <f>SUMIF(C6:N6,"&gt;5600", C6:N6)</f>
        <v>53580</v>
      </c>
      <c r="C26">
        <f>COUNT(C6:N6)</f>
        <v>12</v>
      </c>
      <c r="D26">
        <f>AVERAGEIF(C6:N6,"&gt;500", C6:N6)</f>
        <v>6020.833333333333</v>
      </c>
      <c r="E26">
        <f>SUMIFS(C6:C16,B6:B16,A26,C6:C16, "&gt;5000")</f>
        <v>7000</v>
      </c>
      <c r="F26">
        <f>AVERAGEIFS(C6:N6,C6:N6,"&gt;500")</f>
        <v>6020.833333333333</v>
      </c>
      <c r="G26">
        <f>IF(C6&gt;5000,1,0)</f>
        <v>1</v>
      </c>
      <c r="H26" cm="1">
        <f t="array" ref="H26">_xlfn.IFS(SUM(C6:N6)&gt;80000,1,SUM(C6:N6)&lt;80000,0)</f>
        <v>0</v>
      </c>
      <c r="I26" cm="1">
        <f t="array" ref="I26">_xlfn.IFS(AND(SUM(C6:N6)&gt;70000, SUM(C6:N6)&lt;80000),1,AND(SUM(C6:N6)&gt;80000, SUM(C6:N6)&lt;90000),2, SUM(C6:N6)&lt;70000,0,SUM(C6:N6)&gt;90000,3)</f>
        <v>1</v>
      </c>
      <c r="J26">
        <f>COUNTIF(C6:C16,"&gt;500")</f>
        <v>10</v>
      </c>
    </row>
    <row r="27" spans="1:17" ht="19.75" x14ac:dyDescent="0.65">
      <c r="A27" s="14" t="s">
        <v>13</v>
      </c>
      <c r="B27">
        <f>SUMIF(C7:N7,"&gt;5600", C7:N7)</f>
        <v>0</v>
      </c>
      <c r="C27">
        <f t="shared" ref="C27:C36" si="5">COUNT(C7:N7)</f>
        <v>12</v>
      </c>
      <c r="D27">
        <f t="shared" ref="D27:D36" si="6">AVERAGEIF(C7:N7,"&gt;500", C7:N7)</f>
        <v>1000.25</v>
      </c>
      <c r="E27">
        <f t="shared" ref="E27:E37" si="7">SUMIFS(C7:C17,B7:B17,A27,C7:C17, "&gt;5000")</f>
        <v>0</v>
      </c>
      <c r="F27">
        <f t="shared" ref="F27:F36" si="8">AVERAGEIFS(C7:N7,C7:N7,"&gt;500")</f>
        <v>1000.25</v>
      </c>
      <c r="G27">
        <f t="shared" ref="G27:G36" si="9">IF(C7&gt;5000,1,0)</f>
        <v>0</v>
      </c>
      <c r="H27" cm="1">
        <f t="array" ref="H27">_xlfn.IFS(SUM(C7:N7)&gt;80000,1,SUM(C7:N7)&lt;80000,0)</f>
        <v>0</v>
      </c>
      <c r="I27" cm="1">
        <f t="array" ref="I27">_xlfn.IFS(AND(SUM(C7:N7)&gt;70000, SUM(C7:N7)&lt;80000),1,AND(SUM(C7:N7)&gt;80000, SUM(C7:N7)&lt;90000),2, SUM(C7:N7)&lt;70000,0,SUM(C7:N7)&gt;90000,3)</f>
        <v>0</v>
      </c>
      <c r="J27">
        <f t="shared" ref="J27:J37" si="10">COUNTIF(C7:C17,"&gt;500")</f>
        <v>9</v>
      </c>
    </row>
    <row r="28" spans="1:17" ht="19.75" x14ac:dyDescent="0.65">
      <c r="A28" s="14" t="s">
        <v>2</v>
      </c>
      <c r="B28">
        <f>SUMIF(C8:N8,"&gt;5600", C8:N8)</f>
        <v>0</v>
      </c>
      <c r="C28">
        <f>COUNT(C8:N8)</f>
        <v>12</v>
      </c>
      <c r="D28">
        <f>AVERAGEIF(C8:N8,"&gt;500", C8:N8)</f>
        <v>700</v>
      </c>
      <c r="E28">
        <f t="shared" si="7"/>
        <v>0</v>
      </c>
      <c r="F28">
        <f>AVERAGEIFS(C8:M8,C8:M8,"&gt;500")</f>
        <v>700</v>
      </c>
      <c r="G28">
        <f>IF(C8&gt;5000,1,0)</f>
        <v>0</v>
      </c>
      <c r="H28" cm="1">
        <f t="array" ref="H28">_xlfn.IFS(SUM(C8:N8)&gt;80000,1,SUM(C8:N8)&lt;80000,0)</f>
        <v>0</v>
      </c>
      <c r="I28" cm="1">
        <f t="array" ref="I28">_xlfn.IFS(AND(SUM(C8:N8)&gt;70000, SUM(C8:N8)&lt;80000),1,AND(SUM(C8:N8)&gt;80000, SUM(C8:N8)&lt;90000),2, SUM(C8:N8)&lt;70000,0,SUM(C8:N8)&gt;90000,3)</f>
        <v>0</v>
      </c>
      <c r="J28">
        <f t="shared" si="10"/>
        <v>9</v>
      </c>
    </row>
    <row r="29" spans="1:17" ht="19.75" x14ac:dyDescent="0.65">
      <c r="A29" s="14" t="s">
        <v>3</v>
      </c>
      <c r="B29">
        <f t="shared" ref="B29:B36" si="11">SUMIF(C9:N9,"&gt;5600", C9:N9)</f>
        <v>63500</v>
      </c>
      <c r="C29">
        <f t="shared" si="5"/>
        <v>12</v>
      </c>
      <c r="D29">
        <f t="shared" si="6"/>
        <v>6760.833333333333</v>
      </c>
      <c r="E29">
        <f t="shared" si="7"/>
        <v>8000</v>
      </c>
      <c r="F29">
        <f t="shared" si="8"/>
        <v>6760.833333333333</v>
      </c>
      <c r="G29">
        <f t="shared" si="9"/>
        <v>1</v>
      </c>
      <c r="H29" cm="1">
        <f t="array" ref="H29">_xlfn.IFS(SUM(C9:N9)&gt;80000,1,SUM(C9:N9)&lt;80000,0)</f>
        <v>1</v>
      </c>
      <c r="I29" cm="1">
        <f t="array" ref="I29">_xlfn.IFS(AND(SUM(C9:N9)&gt;70000, SUM(C9:N9)&lt;80000),1,AND(SUM(C9:N9)&gt;80000, SUM(C9:N9)&lt;90000),2, SUM(C9:N9)&lt;70000,0,SUM(C9:N9)&gt;90000,3)</f>
        <v>2</v>
      </c>
      <c r="J29">
        <f t="shared" si="10"/>
        <v>9</v>
      </c>
    </row>
    <row r="30" spans="1:17" ht="19.75" x14ac:dyDescent="0.65">
      <c r="A30" s="14" t="s">
        <v>4</v>
      </c>
      <c r="B30">
        <f t="shared" si="11"/>
        <v>0</v>
      </c>
      <c r="C30">
        <f t="shared" si="5"/>
        <v>12</v>
      </c>
      <c r="D30">
        <f t="shared" si="6"/>
        <v>1374.0833333333333</v>
      </c>
      <c r="E30">
        <f t="shared" si="7"/>
        <v>0</v>
      </c>
      <c r="F30">
        <f t="shared" si="8"/>
        <v>1374.0833333333333</v>
      </c>
      <c r="G30">
        <f t="shared" si="9"/>
        <v>0</v>
      </c>
      <c r="H30" cm="1">
        <f t="array" ref="H30">_xlfn.IFS(SUM(C10:N10)&gt;80000,1,SUM(C10:N10)&lt;80000,0)</f>
        <v>0</v>
      </c>
      <c r="I30" cm="1">
        <f t="array" ref="I30">_xlfn.IFS(AND(SUM(C10:N10)&gt;70000, SUM(C10:N10)&lt;80000),1,AND(SUM(C10:N10)&gt;80000, SUM(C10:N10)&lt;90000),2, SUM(C10:N10)&lt;70000,0,SUM(C10:N10)&gt;90000,3)</f>
        <v>0</v>
      </c>
      <c r="J30">
        <f t="shared" si="10"/>
        <v>8</v>
      </c>
    </row>
    <row r="31" spans="1:17" ht="19.75" x14ac:dyDescent="0.65">
      <c r="A31" s="14" t="s">
        <v>5</v>
      </c>
      <c r="B31">
        <f t="shared" si="11"/>
        <v>68632</v>
      </c>
      <c r="C31">
        <f t="shared" si="5"/>
        <v>12</v>
      </c>
      <c r="D31">
        <f t="shared" si="6"/>
        <v>9225.25</v>
      </c>
      <c r="E31">
        <f t="shared" si="7"/>
        <v>0</v>
      </c>
      <c r="F31">
        <f t="shared" si="8"/>
        <v>9225.25</v>
      </c>
      <c r="G31">
        <f t="shared" si="9"/>
        <v>0</v>
      </c>
      <c r="H31" cm="1">
        <f t="array" ref="H31">_xlfn.IFS(SUM(C11:N11)&gt;80000,1,SUM(C11:N11)&lt;80000,0)</f>
        <v>0</v>
      </c>
      <c r="I31" cm="1">
        <f t="array" ref="I31">_xlfn.IFS(AND(SUM(C11:N11)&gt;70000, SUM(C11:N11)&lt;80000),1,AND(SUM(C11:N11)&gt;80000, SUM(C11:N11)&lt;90000),2, SUM(C11:N11)&lt;70000,0,SUM(C11:N11)&gt;90000,3)</f>
        <v>1</v>
      </c>
      <c r="J31">
        <f t="shared" si="10"/>
        <v>7</v>
      </c>
    </row>
    <row r="32" spans="1:17" ht="19.75" x14ac:dyDescent="0.65">
      <c r="A32" s="14" t="s">
        <v>6</v>
      </c>
      <c r="B32">
        <f t="shared" si="11"/>
        <v>0</v>
      </c>
      <c r="C32">
        <f t="shared" si="5"/>
        <v>12</v>
      </c>
      <c r="D32">
        <f t="shared" si="6"/>
        <v>1500</v>
      </c>
      <c r="E32">
        <f t="shared" si="7"/>
        <v>0</v>
      </c>
      <c r="F32">
        <f t="shared" si="8"/>
        <v>1500</v>
      </c>
      <c r="G32">
        <f t="shared" si="9"/>
        <v>0</v>
      </c>
      <c r="H32" cm="1">
        <f t="array" ref="H32">_xlfn.IFS(SUM(C12:N12)&gt;80000,1,SUM(C12:N12)&lt;80000,0)</f>
        <v>0</v>
      </c>
      <c r="I32" cm="1">
        <f t="array" ref="I32">_xlfn.IFS(AND(SUM(C12:N12)&gt;70000, SUM(C12:N12)&lt;80000),1,AND(SUM(C12:N12)&gt;80000, SUM(C12:N12)&lt;90000),2, SUM(C12:N12)&lt;70000,0,SUM(C12:N12)&gt;90000,3)</f>
        <v>0</v>
      </c>
      <c r="J32">
        <f t="shared" si="10"/>
        <v>7</v>
      </c>
    </row>
    <row r="33" spans="1:17" ht="19.75" x14ac:dyDescent="0.65">
      <c r="A33" s="14" t="s">
        <v>7</v>
      </c>
      <c r="B33">
        <f t="shared" si="11"/>
        <v>326141</v>
      </c>
      <c r="C33">
        <f t="shared" si="5"/>
        <v>12</v>
      </c>
      <c r="D33">
        <f t="shared" si="6"/>
        <v>27178.416666666668</v>
      </c>
      <c r="E33">
        <f t="shared" si="7"/>
        <v>25670</v>
      </c>
      <c r="F33">
        <f t="shared" si="8"/>
        <v>27178.416666666668</v>
      </c>
      <c r="G33">
        <f t="shared" si="9"/>
        <v>1</v>
      </c>
      <c r="H33" cm="1">
        <f t="array" ref="H33">_xlfn.IFS(SUM(C13:N13)&gt;80000,1,SUM(C13:N13)&lt;80000,0)</f>
        <v>1</v>
      </c>
      <c r="I33" cm="1">
        <f t="array" ref="I33">_xlfn.IFS(AND(SUM(C13:N13)&gt;70000, SUM(C13:N13)&lt;80000),1,AND(SUM(C13:N13)&gt;80000, SUM(C13:N13)&lt;90000),2, SUM(C13:N13)&lt;70000,0,SUM(C13:N13)&gt;90000,3)</f>
        <v>3</v>
      </c>
      <c r="J33">
        <f t="shared" si="10"/>
        <v>6</v>
      </c>
    </row>
    <row r="34" spans="1:17" ht="19.75" x14ac:dyDescent="0.65">
      <c r="A34" s="14" t="s">
        <v>8</v>
      </c>
      <c r="B34">
        <f t="shared" si="11"/>
        <v>312953</v>
      </c>
      <c r="C34">
        <f t="shared" si="5"/>
        <v>12</v>
      </c>
      <c r="D34">
        <f t="shared" si="6"/>
        <v>26079.416666666668</v>
      </c>
      <c r="E34">
        <f t="shared" si="7"/>
        <v>25900</v>
      </c>
      <c r="F34">
        <f t="shared" si="8"/>
        <v>26079.416666666668</v>
      </c>
      <c r="G34">
        <f t="shared" si="9"/>
        <v>1</v>
      </c>
      <c r="H34" cm="1">
        <f t="array" ref="H34">_xlfn.IFS(SUM(C14:N14)&gt;80000,1,SUM(C14:N14)&lt;80000,0)</f>
        <v>1</v>
      </c>
      <c r="I34" cm="1">
        <f t="array" ref="I34">_xlfn.IFS(AND(SUM(C14:N14)&gt;70000, SUM(C14:N14)&lt;80000),1,AND(SUM(C14:N14)&gt;80000, SUM(C14:N14)&lt;90000),2, SUM(C14:N14)&lt;70000,0,SUM(C14:N14)&gt;90000,3)</f>
        <v>3</v>
      </c>
      <c r="J34">
        <f t="shared" si="10"/>
        <v>5</v>
      </c>
    </row>
    <row r="35" spans="1:17" ht="19.75" x14ac:dyDescent="0.65">
      <c r="A35" s="14" t="s">
        <v>9</v>
      </c>
      <c r="B35">
        <f t="shared" si="11"/>
        <v>0</v>
      </c>
      <c r="C35">
        <f t="shared" si="5"/>
        <v>12</v>
      </c>
      <c r="D35">
        <f t="shared" si="6"/>
        <v>5000</v>
      </c>
      <c r="E35">
        <f t="shared" si="7"/>
        <v>0</v>
      </c>
      <c r="F35">
        <f t="shared" si="8"/>
        <v>5000</v>
      </c>
      <c r="G35">
        <f t="shared" si="9"/>
        <v>0</v>
      </c>
      <c r="H35" cm="1">
        <f t="array" ref="H35">_xlfn.IFS(SUM(C15:N15)&gt;80000,1,SUM(C15:N15)&lt;80000,0)</f>
        <v>0</v>
      </c>
      <c r="I35" cm="1">
        <f t="array" ref="I35">_xlfn.IFS(AND(SUM(C15:N15)&gt;70000, SUM(C15:N15)&lt;80000),1,AND(SUM(C15:N15)&gt;80000, SUM(C15:N15)&lt;90000),2, SUM(C15:N15)&lt;70000,0,SUM(C15:N15)&gt;90000,3)</f>
        <v>0</v>
      </c>
      <c r="J35">
        <f t="shared" si="10"/>
        <v>4</v>
      </c>
    </row>
    <row r="36" spans="1:17" ht="19.75" x14ac:dyDescent="0.65">
      <c r="A36" s="14" t="s">
        <v>10</v>
      </c>
      <c r="B36">
        <f t="shared" si="11"/>
        <v>54055</v>
      </c>
      <c r="C36">
        <f t="shared" si="5"/>
        <v>11</v>
      </c>
      <c r="D36">
        <f t="shared" si="6"/>
        <v>7023.272727272727</v>
      </c>
      <c r="E36">
        <f t="shared" si="7"/>
        <v>0</v>
      </c>
      <c r="F36">
        <f t="shared" si="8"/>
        <v>7023.272727272727</v>
      </c>
      <c r="G36">
        <f t="shared" si="9"/>
        <v>0</v>
      </c>
      <c r="H36" cm="1">
        <f t="array" ref="H36">_xlfn.IFS(SUM(C16:N16)&gt;80000,1,SUM(C16:N16)&lt;80000,0)</f>
        <v>0</v>
      </c>
      <c r="I36" cm="1">
        <f t="array" ref="I36">_xlfn.IFS(AND(SUM(C16:N16)&gt;70000, SUM(C16:N16)&lt;80000),1,AND(SUM(C16:N16)&gt;80000, SUM(C16:N16)&lt;90000),2, SUM(C16:N16)&lt;70000,0,SUM(C16:N16)&gt;90000,3)</f>
        <v>1</v>
      </c>
      <c r="J36">
        <f t="shared" si="10"/>
        <v>3</v>
      </c>
      <c r="Q36" s="21"/>
    </row>
    <row r="37" spans="1:17" x14ac:dyDescent="0.4">
      <c r="C37" t="s">
        <v>25</v>
      </c>
      <c r="E37">
        <f t="shared" si="7"/>
        <v>0</v>
      </c>
      <c r="H37" cm="1">
        <f t="array" ref="H37">_xlfn.IFS(SUM(C17:N17)&gt;80000,1,SUM(C17:N17)&lt;80000,0)</f>
        <v>0</v>
      </c>
      <c r="I37" cm="1">
        <f t="array" ref="I37">_xlfn.IFS(AND(SUM(C17:N17)&gt;70000, SUM(C17:N17)&lt;80000),1,AND(SUM(C17:N17)&gt;80000, SUM(C17:N17)&lt;90000),2, SUM(C17:N17)&lt;70000,0,SUM(C17:N17)&gt;90000,3)</f>
        <v>0</v>
      </c>
      <c r="J37">
        <f t="shared" si="10"/>
        <v>2</v>
      </c>
      <c r="Q37" s="21"/>
    </row>
    <row r="38" spans="1:17" x14ac:dyDescent="0.4">
      <c r="Q38" s="21"/>
    </row>
    <row r="40" spans="1:17" ht="15" thickBot="1" x14ac:dyDescent="0.45"/>
    <row r="41" spans="1:17" ht="18.899999999999999" thickBot="1" x14ac:dyDescent="0.55000000000000004">
      <c r="B41" s="40" t="s">
        <v>69</v>
      </c>
      <c r="C41" s="41"/>
      <c r="D41" s="41"/>
      <c r="E41" s="41"/>
      <c r="F41" s="41"/>
      <c r="G41" s="41"/>
      <c r="H41" s="41"/>
      <c r="I41" s="41"/>
      <c r="J41" s="42"/>
    </row>
    <row r="42" spans="1:17" x14ac:dyDescent="0.4">
      <c r="B42" s="7" t="s">
        <v>18</v>
      </c>
      <c r="C42" s="7" t="s">
        <v>16</v>
      </c>
      <c r="D42" s="7" t="s">
        <v>17</v>
      </c>
    </row>
    <row r="43" spans="1:17" ht="19.75" x14ac:dyDescent="0.65">
      <c r="A43" s="14" t="str">
        <f>TRIM("  Electricity  ")</f>
        <v>Electricity</v>
      </c>
      <c r="B43">
        <f>MATCH(MAX(C6:N6),C6:N6,0)</f>
        <v>7</v>
      </c>
      <c r="C43" cm="1">
        <f t="array" ref="C43">INDEX(C6:N16,1,B43)</f>
        <v>13000</v>
      </c>
      <c r="D43" t="str">
        <f t="shared" ref="D43:D53" si="12">TEXT(DATE(2021, B43,1), "mmmm")</f>
        <v>July</v>
      </c>
    </row>
    <row r="44" spans="1:17" ht="19.75" x14ac:dyDescent="0.65">
      <c r="A44" s="14" t="s">
        <v>13</v>
      </c>
      <c r="B44">
        <f>MATCH(MAX(C7:N7),C7:N7,0)</f>
        <v>4</v>
      </c>
      <c r="C44" cm="1">
        <f t="array" ref="C44">INDEX(C7:N17,1,B44)</f>
        <v>1300</v>
      </c>
      <c r="D44" t="str">
        <f t="shared" si="12"/>
        <v>April</v>
      </c>
      <c r="F44" t="s">
        <v>22</v>
      </c>
    </row>
    <row r="45" spans="1:17" ht="19.75" x14ac:dyDescent="0.65">
      <c r="A45" s="14" t="s">
        <v>2</v>
      </c>
      <c r="B45">
        <f>MATCH(MAX(C8:N8),C8:N8,0)</f>
        <v>1</v>
      </c>
      <c r="C45" cm="1">
        <f t="array" ref="C45">INDEX(C8:N18,1,B45)</f>
        <v>700</v>
      </c>
      <c r="D45" t="str">
        <f t="shared" si="12"/>
        <v>January</v>
      </c>
    </row>
    <row r="46" spans="1:17" ht="19.75" x14ac:dyDescent="0.65">
      <c r="A46" s="14" t="s">
        <v>3</v>
      </c>
      <c r="B46">
        <f t="shared" ref="B46:B53" si="13">MATCH(MAX(C9:N9),C9:N9,0)</f>
        <v>8</v>
      </c>
      <c r="C46" cm="1">
        <f t="array" ref="C46">INDEX(C9:N19,1,B46)</f>
        <v>18000</v>
      </c>
      <c r="D46" t="str">
        <f t="shared" si="12"/>
        <v>August</v>
      </c>
    </row>
    <row r="47" spans="1:17" ht="19.75" x14ac:dyDescent="0.65">
      <c r="A47" s="14" t="s">
        <v>4</v>
      </c>
      <c r="B47">
        <f t="shared" si="13"/>
        <v>11</v>
      </c>
      <c r="C47" cm="1">
        <f t="array" ref="C47">INDEX(C10:N20,1,B47)</f>
        <v>2340</v>
      </c>
      <c r="D47" t="str">
        <f t="shared" si="12"/>
        <v>November</v>
      </c>
    </row>
    <row r="48" spans="1:17" ht="19.75" x14ac:dyDescent="0.65">
      <c r="A48" s="14" t="s">
        <v>5</v>
      </c>
      <c r="B48">
        <f t="shared" si="13"/>
        <v>4</v>
      </c>
      <c r="C48" cm="1">
        <f t="array" ref="C48">INDEX(C11:N21,1,B48)</f>
        <v>23230</v>
      </c>
      <c r="D48" t="str">
        <f t="shared" si="12"/>
        <v>April</v>
      </c>
    </row>
    <row r="49" spans="1:10" ht="19.75" x14ac:dyDescent="0.65">
      <c r="A49" s="14" t="s">
        <v>6</v>
      </c>
      <c r="B49">
        <f t="shared" si="13"/>
        <v>1</v>
      </c>
      <c r="C49" cm="1">
        <f t="array" ref="C49">INDEX(C12:N22,1,B49)</f>
        <v>1500</v>
      </c>
      <c r="D49" t="str">
        <f t="shared" si="12"/>
        <v>January</v>
      </c>
    </row>
    <row r="50" spans="1:10" ht="19.75" x14ac:dyDescent="0.65">
      <c r="A50" s="14" t="s">
        <v>7</v>
      </c>
      <c r="B50">
        <f t="shared" si="13"/>
        <v>11</v>
      </c>
      <c r="C50" cm="1">
        <f t="array" ref="C50">INDEX(C13:N23,1,B50)</f>
        <v>38000</v>
      </c>
      <c r="D50" t="str">
        <f t="shared" si="12"/>
        <v>November</v>
      </c>
    </row>
    <row r="51" spans="1:10" ht="19.75" x14ac:dyDescent="0.65">
      <c r="A51" s="14" t="s">
        <v>8</v>
      </c>
      <c r="B51">
        <f t="shared" si="13"/>
        <v>8</v>
      </c>
      <c r="C51" cm="1">
        <f t="array" ref="C51">INDEX(C14:N24,1,B51)</f>
        <v>35269</v>
      </c>
      <c r="D51" t="str">
        <f t="shared" si="12"/>
        <v>August</v>
      </c>
    </row>
    <row r="52" spans="1:10" ht="19.75" x14ac:dyDescent="0.65">
      <c r="A52" s="14" t="s">
        <v>9</v>
      </c>
      <c r="B52">
        <f t="shared" si="13"/>
        <v>1</v>
      </c>
      <c r="C52" cm="1">
        <f t="array" ref="C52">INDEX(C15:N25,1,B52)</f>
        <v>5000</v>
      </c>
      <c r="D52" t="str">
        <f t="shared" si="12"/>
        <v>January</v>
      </c>
    </row>
    <row r="53" spans="1:10" ht="19.75" x14ac:dyDescent="0.65">
      <c r="A53" s="14" t="s">
        <v>10</v>
      </c>
      <c r="B53">
        <f t="shared" si="13"/>
        <v>4</v>
      </c>
      <c r="C53" cm="1">
        <f t="array" ref="C53">INDEX(C16:N26,1,B53)</f>
        <v>23459</v>
      </c>
      <c r="D53" t="str">
        <f t="shared" si="12"/>
        <v>April</v>
      </c>
    </row>
    <row r="54" spans="1:10" ht="15" thickBot="1" x14ac:dyDescent="0.45"/>
    <row r="55" spans="1:10" ht="15" thickBot="1" x14ac:dyDescent="0.45">
      <c r="B55" s="19" t="s">
        <v>20</v>
      </c>
      <c r="C55" s="20" t="s">
        <v>21</v>
      </c>
      <c r="D55" s="43" t="s">
        <v>19</v>
      </c>
      <c r="E55" s="44"/>
    </row>
    <row r="58" spans="1:10" ht="18.45" x14ac:dyDescent="0.5">
      <c r="B58" s="38" t="s">
        <v>35</v>
      </c>
      <c r="C58" s="39"/>
      <c r="D58" s="39"/>
      <c r="E58" s="39"/>
      <c r="F58" s="39"/>
      <c r="G58" s="39"/>
      <c r="H58" s="39"/>
      <c r="I58" s="39"/>
      <c r="J58" s="39"/>
    </row>
    <row r="59" spans="1:10" x14ac:dyDescent="0.4">
      <c r="A59" s="37" t="s">
        <v>34</v>
      </c>
      <c r="B59" s="37"/>
      <c r="C59" s="7" t="s">
        <v>36</v>
      </c>
      <c r="D59" s="7"/>
    </row>
    <row r="60" spans="1:10" x14ac:dyDescent="0.4">
      <c r="A60" s="3" cm="1">
        <f t="array" ref="A60:A71">TRANSPOSE(C18:N18)</f>
        <v>80340</v>
      </c>
      <c r="B60" t="str">
        <f t="shared" ref="B60:B71" si="14">VLOOKUP(A60,matrix,2,TRUE)</f>
        <v>medium</v>
      </c>
      <c r="C60">
        <f>VLOOKUP(B6,B6:N16,5,FALSE)</f>
        <v>3000</v>
      </c>
    </row>
    <row r="61" spans="1:10" x14ac:dyDescent="0.4">
      <c r="A61" s="3">
        <v>105386</v>
      </c>
      <c r="B61" t="str">
        <f t="shared" si="14"/>
        <v>high</v>
      </c>
      <c r="C61">
        <f t="shared" ref="C61:C70" si="15">VLOOKUP(B7,B7:N17,5,FALSE)</f>
        <v>1300</v>
      </c>
    </row>
    <row r="62" spans="1:10" x14ac:dyDescent="0.4">
      <c r="A62" s="3">
        <v>100099</v>
      </c>
      <c r="B62" t="str">
        <f t="shared" si="14"/>
        <v>high</v>
      </c>
      <c r="C62">
        <f t="shared" si="15"/>
        <v>700</v>
      </c>
    </row>
    <row r="63" spans="1:10" x14ac:dyDescent="0.4">
      <c r="A63" s="3">
        <v>122732</v>
      </c>
      <c r="B63" t="str">
        <f t="shared" si="14"/>
        <v>high</v>
      </c>
      <c r="C63">
        <f t="shared" si="15"/>
        <v>7500</v>
      </c>
      <c r="E63" s="4">
        <v>0</v>
      </c>
      <c r="F63" s="4" t="s">
        <v>31</v>
      </c>
    </row>
    <row r="64" spans="1:10" x14ac:dyDescent="0.4">
      <c r="A64" s="3">
        <v>80039</v>
      </c>
      <c r="B64" t="str">
        <f t="shared" si="14"/>
        <v>medium</v>
      </c>
      <c r="C64">
        <f t="shared" si="15"/>
        <v>1460</v>
      </c>
      <c r="E64" s="4">
        <v>50000</v>
      </c>
      <c r="F64" s="4" t="s">
        <v>32</v>
      </c>
    </row>
    <row r="65" spans="1:13" x14ac:dyDescent="0.4">
      <c r="A65" s="3">
        <v>59373</v>
      </c>
      <c r="B65" t="str">
        <f t="shared" si="14"/>
        <v>medium</v>
      </c>
      <c r="C65">
        <f t="shared" si="15"/>
        <v>23230</v>
      </c>
      <c r="E65" s="4">
        <v>100000</v>
      </c>
      <c r="F65" s="4" t="s">
        <v>33</v>
      </c>
    </row>
    <row r="66" spans="1:13" x14ac:dyDescent="0.4">
      <c r="A66" s="3">
        <v>93040</v>
      </c>
      <c r="B66" t="str">
        <f t="shared" si="14"/>
        <v>medium</v>
      </c>
      <c r="C66">
        <f t="shared" si="15"/>
        <v>1500</v>
      </c>
    </row>
    <row r="67" spans="1:13" x14ac:dyDescent="0.4">
      <c r="A67" s="3">
        <v>107323</v>
      </c>
      <c r="B67" t="str">
        <f t="shared" si="14"/>
        <v>high</v>
      </c>
      <c r="C67">
        <f t="shared" si="15"/>
        <v>23000</v>
      </c>
    </row>
    <row r="68" spans="1:13" x14ac:dyDescent="0.4">
      <c r="A68" s="3">
        <v>84169</v>
      </c>
      <c r="B68" t="str">
        <f t="shared" si="14"/>
        <v>medium</v>
      </c>
      <c r="C68">
        <f t="shared" si="15"/>
        <v>32583</v>
      </c>
    </row>
    <row r="69" spans="1:13" x14ac:dyDescent="0.4">
      <c r="A69" s="3">
        <v>76460</v>
      </c>
      <c r="B69" t="str">
        <f t="shared" si="14"/>
        <v>medium</v>
      </c>
      <c r="C69">
        <f t="shared" si="15"/>
        <v>5000</v>
      </c>
    </row>
    <row r="70" spans="1:13" x14ac:dyDescent="0.4">
      <c r="A70" s="3">
        <v>81792</v>
      </c>
      <c r="B70" t="str">
        <f t="shared" si="14"/>
        <v>medium</v>
      </c>
      <c r="C70">
        <f t="shared" si="15"/>
        <v>23459</v>
      </c>
    </row>
    <row r="71" spans="1:13" x14ac:dyDescent="0.4">
      <c r="A71" s="3">
        <v>67671</v>
      </c>
      <c r="B71" t="str">
        <f t="shared" si="14"/>
        <v>medium</v>
      </c>
    </row>
    <row r="74" spans="1:13" ht="18.45" x14ac:dyDescent="0.5">
      <c r="B74" s="38" t="s">
        <v>38</v>
      </c>
      <c r="C74" s="39"/>
      <c r="D74" s="39"/>
      <c r="E74" s="39"/>
      <c r="F74" s="39"/>
      <c r="G74" s="39"/>
      <c r="H74" s="39"/>
      <c r="I74" s="39"/>
      <c r="J74" s="39"/>
    </row>
    <row r="75" spans="1:13" ht="15" thickBot="1" x14ac:dyDescent="0.45">
      <c r="B75" s="22">
        <v>44197</v>
      </c>
      <c r="C75" s="22">
        <v>44228</v>
      </c>
      <c r="D75" s="22">
        <v>44256</v>
      </c>
      <c r="E75" s="22">
        <v>44287</v>
      </c>
      <c r="F75" s="22">
        <v>44317</v>
      </c>
      <c r="G75" s="22">
        <v>44348</v>
      </c>
      <c r="H75" s="22">
        <v>44378</v>
      </c>
      <c r="I75" s="22">
        <v>44409</v>
      </c>
      <c r="J75" s="22">
        <v>44440</v>
      </c>
      <c r="K75" s="22">
        <v>44470</v>
      </c>
      <c r="L75" s="22">
        <v>44501</v>
      </c>
      <c r="M75" s="22">
        <v>44531</v>
      </c>
    </row>
    <row r="76" spans="1:13" ht="15" thickTop="1" x14ac:dyDescent="0.4">
      <c r="A76" s="3" t="str">
        <f>_xlfn.CONCAT(B10,"+", B11)</f>
        <v>Medical+Dining</v>
      </c>
      <c r="B76" t="str">
        <f>C10&amp;"+"&amp;C11&amp;"="&amp;SUM(C10,C11)</f>
        <v>1000+0=1000</v>
      </c>
      <c r="C76" t="str">
        <f t="shared" ref="C76:M76" si="16">D10&amp;"+"&amp;D11&amp;"="&amp;SUM(D10,D11)</f>
        <v>1300+12000=13300</v>
      </c>
      <c r="D76" t="str">
        <f t="shared" si="16"/>
        <v>1250+8000=9250</v>
      </c>
      <c r="E76" t="str">
        <f t="shared" si="16"/>
        <v>1460+23230=24690</v>
      </c>
      <c r="F76" t="str">
        <f t="shared" si="16"/>
        <v>1750+0=1750</v>
      </c>
      <c r="G76" t="str">
        <f t="shared" si="16"/>
        <v>1000+0=1000</v>
      </c>
      <c r="H76" t="str">
        <f t="shared" si="16"/>
        <v>1000+7800=8800</v>
      </c>
      <c r="I76" t="str">
        <f t="shared" si="16"/>
        <v>1000+8000=9000</v>
      </c>
      <c r="J76" t="str">
        <f t="shared" si="16"/>
        <v>1389+9602=10991</v>
      </c>
      <c r="K76" t="str">
        <f t="shared" si="16"/>
        <v>2000+2830=4830</v>
      </c>
      <c r="L76" t="str">
        <f t="shared" si="16"/>
        <v>2340+2340=4680</v>
      </c>
      <c r="M76" t="str">
        <f t="shared" si="16"/>
        <v>1000+0=1000</v>
      </c>
    </row>
    <row r="83" spans="1:10" ht="18.45" x14ac:dyDescent="0.5">
      <c r="B83" s="38" t="s">
        <v>41</v>
      </c>
      <c r="C83" s="39"/>
      <c r="D83" s="39"/>
      <c r="E83" s="39"/>
      <c r="F83" s="39"/>
      <c r="G83" s="39"/>
      <c r="H83" s="39"/>
      <c r="I83" s="39"/>
      <c r="J83" s="39"/>
    </row>
    <row r="84" spans="1:10" x14ac:dyDescent="0.4">
      <c r="B84" s="7" t="s">
        <v>39</v>
      </c>
      <c r="C84" s="7" t="s">
        <v>40</v>
      </c>
    </row>
    <row r="85" spans="1:10" ht="19.75" x14ac:dyDescent="0.65">
      <c r="A85" s="14" t="str">
        <f>TRIM("  Electricity  ")</f>
        <v>Electricity</v>
      </c>
      <c r="B85" s="54">
        <f>SUM(C6:N6)</f>
        <v>72250</v>
      </c>
      <c r="C85" s="54">
        <f>AVERAGE(C6:N6)</f>
        <v>6020.833333333333</v>
      </c>
    </row>
    <row r="86" spans="1:10" ht="19.75" x14ac:dyDescent="0.65">
      <c r="A86" s="14" t="s">
        <v>13</v>
      </c>
    </row>
    <row r="87" spans="1:10" ht="19.75" x14ac:dyDescent="0.65">
      <c r="A87" s="14" t="s">
        <v>2</v>
      </c>
      <c r="B87">
        <f>SUM(C8:N8)</f>
        <v>8400</v>
      </c>
      <c r="C87">
        <f>AVERAGE(C8:N8)</f>
        <v>700</v>
      </c>
    </row>
    <row r="88" spans="1:10" ht="19.75" x14ac:dyDescent="0.65">
      <c r="A88" s="14" t="s">
        <v>3</v>
      </c>
      <c r="E88" s="26"/>
    </row>
    <row r="89" spans="1:10" ht="19.75" x14ac:dyDescent="0.65">
      <c r="A89" s="14" t="s">
        <v>4</v>
      </c>
      <c r="E89" s="26"/>
    </row>
    <row r="90" spans="1:10" ht="19.75" x14ac:dyDescent="0.65">
      <c r="A90" s="14" t="s">
        <v>5</v>
      </c>
      <c r="E90" s="26"/>
    </row>
    <row r="91" spans="1:10" ht="19.75" x14ac:dyDescent="0.65">
      <c r="A91" s="14" t="s">
        <v>6</v>
      </c>
      <c r="B91">
        <f>SUM(C12:N12)</f>
        <v>18000</v>
      </c>
      <c r="C91">
        <f>AVERAGE(C12:N12)</f>
        <v>1500</v>
      </c>
      <c r="E91" s="26"/>
    </row>
    <row r="92" spans="1:10" ht="19.75" x14ac:dyDescent="0.65">
      <c r="A92" s="14" t="s">
        <v>7</v>
      </c>
      <c r="E92" s="26"/>
    </row>
    <row r="93" spans="1:10" ht="19.75" x14ac:dyDescent="0.65">
      <c r="A93" s="14" t="s">
        <v>8</v>
      </c>
      <c r="B93">
        <f>SUM(C14:N14)</f>
        <v>312953</v>
      </c>
      <c r="C93">
        <f>AVERAGE(C14:N14)</f>
        <v>26079.416666666668</v>
      </c>
      <c r="E93" s="26"/>
    </row>
    <row r="94" spans="1:10" ht="19.75" x14ac:dyDescent="0.65">
      <c r="A94" s="14" t="s">
        <v>9</v>
      </c>
      <c r="E94" s="26"/>
    </row>
    <row r="95" spans="1:10" ht="19.75" x14ac:dyDescent="0.65">
      <c r="A95" s="14" t="s">
        <v>10</v>
      </c>
      <c r="E95" s="26"/>
    </row>
    <row r="98" spans="2:12" x14ac:dyDescent="0.4">
      <c r="B98" s="45" t="s">
        <v>42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</row>
  </sheetData>
  <mergeCells count="13">
    <mergeCell ref="B83:J83"/>
    <mergeCell ref="B98:L98"/>
    <mergeCell ref="B24:J24"/>
    <mergeCell ref="B4:B5"/>
    <mergeCell ref="P4:P5"/>
    <mergeCell ref="B74:J74"/>
    <mergeCell ref="B2:P3"/>
    <mergeCell ref="Q4:Q5"/>
    <mergeCell ref="B23:K23"/>
    <mergeCell ref="A59:B59"/>
    <mergeCell ref="B58:J58"/>
    <mergeCell ref="B41:J41"/>
    <mergeCell ref="D55:E55"/>
  </mergeCells>
  <conditionalFormatting sqref="C6:N6">
    <cfRule type="dataBar" priority="19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{7C20D395-F3FA-4845-A830-1AE27A862B81}</x14:id>
        </ext>
      </extLst>
    </cfRule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{B5E667D9-B1F7-4793-9DE7-869E454D4772}</x14:id>
        </ext>
      </extLst>
    </cfRule>
  </conditionalFormatting>
  <conditionalFormatting sqref="C7:N7">
    <cfRule type="dataBar" priority="14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{642CEF86-09E9-447B-B53F-6DEEC7C1FC9E}</x14:id>
        </ext>
      </extLst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{DC2921D7-2739-4249-8101-DE413D843739}</x14:id>
        </ext>
      </extLst>
    </cfRule>
  </conditionalFormatting>
  <conditionalFormatting sqref="C8:N8">
    <cfRule type="dataBar" priority="13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{D422BCA4-D29E-44E0-8E17-55D906F50D62}</x14:id>
        </ext>
      </extLst>
    </cfRule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{8FF4EFE1-CCDD-4F8D-AC99-0B11E7D928A5}</x14:id>
        </ext>
      </extLst>
    </cfRule>
  </conditionalFormatting>
  <conditionalFormatting sqref="C9:N9">
    <cfRule type="dataBar" priority="12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{D7FBBDBE-6BAA-4B55-9774-AF0F5D41F230}</x14:id>
        </ext>
      </extLst>
    </cfRule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{31B86DEE-320B-4A8F-B2FC-E29C8799EF08}</x14:id>
        </ext>
      </extLst>
    </cfRule>
  </conditionalFormatting>
  <conditionalFormatting sqref="C10:N10">
    <cfRule type="dataBar" priority="11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{3EAACD4D-ACCF-4A82-B5D7-AB013DBB8C57}</x14:id>
        </ext>
      </extLst>
    </cfRule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{2C438F56-B662-42AA-A7FD-499245EA80BE}</x14:id>
        </ext>
      </extLst>
    </cfRule>
  </conditionalFormatting>
  <conditionalFormatting sqref="C11:N11">
    <cfRule type="dataBar" priority="5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{4226914F-8099-476B-8D44-AA5FB5070731}</x14:id>
        </ext>
      </extLst>
    </cfRule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{21F52386-8A6C-4838-8E8E-2A033B6D691F}</x14:id>
        </ext>
      </extLst>
    </cfRule>
  </conditionalFormatting>
  <conditionalFormatting sqref="C12:N12">
    <cfRule type="dataBar" priority="6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{8D7DF501-AB2B-406B-8AF2-A0F901E13A9A}</x14:id>
        </ext>
      </extLst>
    </cfRule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{4D1002A9-FD54-48B4-B48C-73B0594B25E5}</x14:id>
        </ext>
      </extLst>
    </cfRule>
  </conditionalFormatting>
  <conditionalFormatting sqref="C13:N13">
    <cfRule type="dataBar" priority="7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{4FF1F7B5-5DA3-4FF4-A365-09366084C5ED}</x14:id>
        </ext>
      </extLst>
    </cfRule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{33E1D2CB-BF6A-4127-A7AA-87395425C63A}</x14:id>
        </ext>
      </extLst>
    </cfRule>
  </conditionalFormatting>
  <conditionalFormatting sqref="C14:N14">
    <cfRule type="dataBar" priority="9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{0BDDCB42-0424-4B16-85B5-3AE4DF8323BF}</x14:id>
        </ext>
      </extLst>
    </cfRule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{A086D476-5D6C-4CA6-9A6D-E9E4E37861BC}</x14:id>
        </ext>
      </extLst>
    </cfRule>
  </conditionalFormatting>
  <conditionalFormatting sqref="C15:N15">
    <cfRule type="dataBar" priority="8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{D08A400C-7D29-406C-A7B2-0ACB68453B4B}</x14:id>
        </ext>
      </extLst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{FA92AFC9-A197-4572-913E-99DC5FB624C4}</x14:id>
        </ext>
      </extLst>
    </cfRule>
  </conditionalFormatting>
  <conditionalFormatting sqref="C16:N16">
    <cfRule type="dataBar" priority="10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{7B1EBC46-AC0D-4309-BEDB-54B89E876C2D}</x14:id>
        </ext>
      </extLst>
    </cfRule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{E6B4B2E0-309A-4E9A-AAFD-507EAB3AA4F6}</x14:id>
        </ext>
      </extLst>
    </cfRule>
  </conditionalFormatting>
  <conditionalFormatting sqref="C18:N18">
    <cfRule type="colorScale" priority="2">
      <colorScale>
        <cfvo type="min"/>
        <cfvo type="max"/>
        <color rgb="FF63BE7B"/>
        <color rgb="FFFFEF9C"/>
      </colorScale>
    </cfRule>
    <cfRule type="colorScale" priority="25">
      <colorScale>
        <cfvo type="min"/>
        <cfvo type="max"/>
        <color rgb="FF63BE7B"/>
        <color rgb="FFFCFCFF"/>
      </colorScale>
    </cfRule>
  </conditionalFormatting>
  <conditionalFormatting sqref="C19:N19">
    <cfRule type="colorScale" priority="1">
      <colorScale>
        <cfvo type="min"/>
        <cfvo type="max"/>
        <color rgb="FF63BE7B"/>
        <color rgb="FFFFEF9C"/>
      </colorScale>
    </cfRule>
    <cfRule type="colorScale" priority="24">
      <colorScale>
        <cfvo type="min"/>
        <cfvo type="max"/>
        <color rgb="FF63BE7B"/>
        <color rgb="FFFCFCFF"/>
      </colorScale>
    </cfRule>
  </conditionalFormatting>
  <conditionalFormatting sqref="P6:P16">
    <cfRule type="dataBar" priority="17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{2ECBBBAD-C663-4D07-B467-9717579566A0}</x14:id>
        </ext>
      </extLst>
    </cfRule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{2BBF6A95-FEC2-4276-8D92-E7347C1E67E1}</x14:id>
        </ext>
      </extLst>
    </cfRule>
    <cfRule type="dataBar" priority="21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{AB6D9FBB-CD75-4A6F-A8F6-DCE51F2647C4}</x14:id>
        </ext>
      </extLst>
    </cfRule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{C9234E66-CE1F-42F3-8097-58E0BF7ABE91}</x14:id>
        </ext>
      </extLst>
    </cfRule>
  </conditionalFormatting>
  <conditionalFormatting sqref="Q6:Q16">
    <cfRule type="dataBar" priority="15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{4A692955-3322-4768-9A6F-2FE73015A411}</x14:id>
        </ext>
      </extLst>
    </cfRule>
    <cfRule type="dataBar" priority="16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{C5DCF763-149C-4F90-AC7F-053D409EC409}</x14:id>
        </ext>
      </extLst>
    </cfRule>
    <cfRule type="dataBar" priority="20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{1072E39E-BE1C-443F-BD2E-EB3E04C004D7}</x14:id>
        </ext>
      </extLst>
    </cfRule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{21275026-3336-491E-8C4E-C4C2C485ECAF}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20D395-F3FA-4845-A830-1AE27A862B8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5E667D9-B1F7-4793-9DE7-869E454D47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C6:N6</xm:sqref>
        </x14:conditionalFormatting>
        <x14:conditionalFormatting xmlns:xm="http://schemas.microsoft.com/office/excel/2006/main">
          <x14:cfRule type="dataBar" id="{642CEF86-09E9-447B-B53F-6DEEC7C1FC9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C2921D7-2739-4249-8101-DE413D84373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C7:N7</xm:sqref>
        </x14:conditionalFormatting>
        <x14:conditionalFormatting xmlns:xm="http://schemas.microsoft.com/office/excel/2006/main">
          <x14:cfRule type="dataBar" id="{D422BCA4-D29E-44E0-8E17-55D906F50D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FF4EFE1-CCDD-4F8D-AC99-0B11E7D928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C8:N8</xm:sqref>
        </x14:conditionalFormatting>
        <x14:conditionalFormatting xmlns:xm="http://schemas.microsoft.com/office/excel/2006/main">
          <x14:cfRule type="dataBar" id="{D7FBBDBE-6BAA-4B55-9774-AF0F5D41F23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1B86DEE-320B-4A8F-B2FC-E29C8799EF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C9:N9</xm:sqref>
        </x14:conditionalFormatting>
        <x14:conditionalFormatting xmlns:xm="http://schemas.microsoft.com/office/excel/2006/main">
          <x14:cfRule type="dataBar" id="{3EAACD4D-ACCF-4A82-B5D7-AB013DBB8C5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438F56-B662-42AA-A7FD-499245EA80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C10:N10</xm:sqref>
        </x14:conditionalFormatting>
        <x14:conditionalFormatting xmlns:xm="http://schemas.microsoft.com/office/excel/2006/main">
          <x14:cfRule type="dataBar" id="{4226914F-8099-476B-8D44-AA5FB50707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1F52386-8A6C-4838-8E8E-2A033B6D69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C11:N11</xm:sqref>
        </x14:conditionalFormatting>
        <x14:conditionalFormatting xmlns:xm="http://schemas.microsoft.com/office/excel/2006/main">
          <x14:cfRule type="dataBar" id="{8D7DF501-AB2B-406B-8AF2-A0F901E13A9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D1002A9-FD54-48B4-B48C-73B0594B25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C12:N12</xm:sqref>
        </x14:conditionalFormatting>
        <x14:conditionalFormatting xmlns:xm="http://schemas.microsoft.com/office/excel/2006/main">
          <x14:cfRule type="dataBar" id="{4FF1F7B5-5DA3-4FF4-A365-09366084C5E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3E1D2CB-BF6A-4127-A7AA-87395425C6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C13:N13</xm:sqref>
        </x14:conditionalFormatting>
        <x14:conditionalFormatting xmlns:xm="http://schemas.microsoft.com/office/excel/2006/main">
          <x14:cfRule type="dataBar" id="{0BDDCB42-0424-4B16-85B5-3AE4DF8323B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086D476-5D6C-4CA6-9A6D-E9E4E37861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C14:N14</xm:sqref>
        </x14:conditionalFormatting>
        <x14:conditionalFormatting xmlns:xm="http://schemas.microsoft.com/office/excel/2006/main">
          <x14:cfRule type="dataBar" id="{D08A400C-7D29-406C-A7B2-0ACB68453B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A92AFC9-A197-4572-913E-99DC5FB624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C15:N15</xm:sqref>
        </x14:conditionalFormatting>
        <x14:conditionalFormatting xmlns:xm="http://schemas.microsoft.com/office/excel/2006/main">
          <x14:cfRule type="dataBar" id="{7B1EBC46-AC0D-4309-BEDB-54B89E876C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6B4B2E0-309A-4E9A-AAFD-507EAB3AA4F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C16:N16</xm:sqref>
        </x14:conditionalFormatting>
        <x14:conditionalFormatting xmlns:xm="http://schemas.microsoft.com/office/excel/2006/main">
          <x14:cfRule type="dataBar" id="{2ECBBBAD-C663-4D07-B467-9717579566A0}">
            <x14:dataBar minLength="0" maxLength="100" border="1">
              <x14:cfvo type="autoMin"/>
              <x14:cfvo type="autoMax"/>
              <x14:borderColor rgb="FF00C0B7"/>
              <x14:negativeFillColor rgb="FFFF0000"/>
              <x14:axisColor rgb="FF000000"/>
            </x14:dataBar>
          </x14:cfRule>
          <x14:cfRule type="dataBar" id="{2BBF6A95-FEC2-4276-8D92-E7347C1E67E1}">
            <x14:dataBar minLength="0" maxLength="100" border="1">
              <x14:cfvo type="autoMin"/>
              <x14:cfvo type="autoMax"/>
              <x14:borderColor rgb="FF00C0B7"/>
              <x14:negativeFillColor rgb="FFFF0000"/>
              <x14:axisColor rgb="FF000000"/>
            </x14:dataBar>
          </x14:cfRule>
          <x14:cfRule type="dataBar" id="{AB6D9FBB-CD75-4A6F-A8F6-DCE51F2647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9234E66-CE1F-42F3-8097-58E0BF7ABE9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P6:P16</xm:sqref>
        </x14:conditionalFormatting>
        <x14:conditionalFormatting xmlns:xm="http://schemas.microsoft.com/office/excel/2006/main">
          <x14:cfRule type="dataBar" id="{4A692955-3322-4768-9A6F-2FE73015A4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5DCF763-149C-4F90-AC7F-053D409EC409}">
            <x14:dataBar minLength="0" maxLength="100" border="1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14:cfRule type="dataBar" id="{1072E39E-BE1C-443F-BD2E-EB3E04C004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1275026-3336-491E-8C4E-C4C2C485ECA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833A151F-FD14-4377-A528-40B945A46EC4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Sheet1!C6:C16</xm:f>
              <xm:sqref>C17</xm:sqref>
            </x14:sparkline>
            <x14:sparkline>
              <xm:f>Sheet1!D6:D16</xm:f>
              <xm:sqref>D17</xm:sqref>
            </x14:sparkline>
            <x14:sparkline>
              <xm:f>Sheet1!E6:E16</xm:f>
              <xm:sqref>E17</xm:sqref>
            </x14:sparkline>
            <x14:sparkline>
              <xm:f>Sheet1!F6:F16</xm:f>
              <xm:sqref>F17</xm:sqref>
            </x14:sparkline>
            <x14:sparkline>
              <xm:f>Sheet1!G6:G16</xm:f>
              <xm:sqref>G17</xm:sqref>
            </x14:sparkline>
            <x14:sparkline>
              <xm:f>Sheet1!H6:H16</xm:f>
              <xm:sqref>H17</xm:sqref>
            </x14:sparkline>
            <x14:sparkline>
              <xm:f>Sheet1!I6:I16</xm:f>
              <xm:sqref>I17</xm:sqref>
            </x14:sparkline>
            <x14:sparkline>
              <xm:f>Sheet1!J6:J16</xm:f>
              <xm:sqref>J17</xm:sqref>
            </x14:sparkline>
            <x14:sparkline>
              <xm:f>Sheet1!K6:K16</xm:f>
              <xm:sqref>K17</xm:sqref>
            </x14:sparkline>
            <x14:sparkline>
              <xm:f>Sheet1!L6:L16</xm:f>
              <xm:sqref>L17</xm:sqref>
            </x14:sparkline>
            <x14:sparkline>
              <xm:f>Sheet1!M6:M16</xm:f>
              <xm:sqref>M17</xm:sqref>
            </x14:sparkline>
            <x14:sparkline>
              <xm:f>Sheet1!N6:N16</xm:f>
              <xm:sqref>N17</xm:sqref>
            </x14:sparkline>
          </x14:sparklines>
        </x14:sparklineGroup>
        <x14:sparklineGroup displayEmptyCellsAs="gap" markers="1" xr2:uid="{9A9BB987-292A-4D3B-9464-E9C774064225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Sheet1!P6:P16</xm:f>
              <xm:sqref>P17</xm:sqref>
            </x14:sparkline>
            <x14:sparkline>
              <xm:f>Sheet1!Q6:Q16</xm:f>
              <xm:sqref>Q17</xm:sqref>
            </x14:sparkline>
          </x14:sparklines>
        </x14:sparklineGroup>
        <x14:sparklineGroup displayEmptyCellsAs="gap" markers="1" xr2:uid="{68A54BBE-50A8-4B48-B635-9203EB1F52EA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Sheet1!C18:N18</xm:f>
              <xm:sqref>O18</xm:sqref>
            </x14:sparkline>
            <x14:sparkline>
              <xm:f>Sheet1!C19:N19</xm:f>
              <xm:sqref>O19</xm:sqref>
            </x14:sparkline>
          </x14:sparklines>
        </x14:sparklineGroup>
        <x14:sparklineGroup displayEmptyCellsAs="gap" markers="1" xr2:uid="{81DBA7A2-DB50-4CE0-A900-6B15CFAF38BD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Sheet1!C6:N6</xm:f>
              <xm:sqref>O6</xm:sqref>
            </x14:sparkline>
            <x14:sparkline>
              <xm:f>Sheet1!C7:N7</xm:f>
              <xm:sqref>O7</xm:sqref>
            </x14:sparkline>
            <x14:sparkline>
              <xm:f>Sheet1!C8:N8</xm:f>
              <xm:sqref>O8</xm:sqref>
            </x14:sparkline>
            <x14:sparkline>
              <xm:f>Sheet1!C9:N9</xm:f>
              <xm:sqref>O9</xm:sqref>
            </x14:sparkline>
            <x14:sparkline>
              <xm:f>Sheet1!C10:N10</xm:f>
              <xm:sqref>O10</xm:sqref>
            </x14:sparkline>
            <x14:sparkline>
              <xm:f>Sheet1!C11:N11</xm:f>
              <xm:sqref>O11</xm:sqref>
            </x14:sparkline>
            <x14:sparkline>
              <xm:f>Sheet1!C12:N12</xm:f>
              <xm:sqref>O12</xm:sqref>
            </x14:sparkline>
            <x14:sparkline>
              <xm:f>Sheet1!C13:N13</xm:f>
              <xm:sqref>O13</xm:sqref>
            </x14:sparkline>
            <x14:sparkline>
              <xm:f>Sheet1!C14:N14</xm:f>
              <xm:sqref>O14</xm:sqref>
            </x14:sparkline>
            <x14:sparkline>
              <xm:f>Sheet1!C15:N15</xm:f>
              <xm:sqref>O15</xm:sqref>
            </x14:sparkline>
            <x14:sparkline>
              <xm:f>Sheet1!C16:N16</xm:f>
              <xm:sqref>O16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A657D-EB99-498A-B908-C51F501068CB}">
  <dimension ref="A1:AD98"/>
  <sheetViews>
    <sheetView showFormulas="1" topLeftCell="A30" zoomScale="47" workbookViewId="0">
      <selection activeCell="B23" sqref="B23:K23"/>
    </sheetView>
  </sheetViews>
  <sheetFormatPr defaultRowHeight="14.6" x14ac:dyDescent="0.4"/>
  <cols>
    <col min="1" max="1" width="14.23046875" customWidth="1"/>
    <col min="2" max="2" width="20.61328125" customWidth="1"/>
    <col min="3" max="3" width="14.3046875" customWidth="1"/>
    <col min="4" max="4" width="19.61328125" bestFit="1" customWidth="1"/>
    <col min="5" max="5" width="24.69140625" bestFit="1" customWidth="1"/>
    <col min="6" max="6" width="15.84375" customWidth="1"/>
    <col min="7" max="7" width="11.23046875" bestFit="1" customWidth="1"/>
    <col min="8" max="8" width="16.84375" customWidth="1"/>
    <col min="9" max="9" width="16.765625" customWidth="1"/>
    <col min="10" max="10" width="14.765625" customWidth="1"/>
    <col min="11" max="11" width="13.61328125" customWidth="1"/>
    <col min="12" max="12" width="12.3828125" customWidth="1"/>
    <col min="13" max="13" width="13.23046875" bestFit="1" customWidth="1"/>
    <col min="14" max="14" width="15.53515625" customWidth="1"/>
    <col min="16" max="16" width="14.07421875" customWidth="1"/>
    <col min="17" max="17" width="13.15234375" customWidth="1"/>
    <col min="19" max="19" width="19.3046875" customWidth="1"/>
  </cols>
  <sheetData>
    <row r="1" spans="2:30" ht="15" thickBot="1" x14ac:dyDescent="0.45"/>
    <row r="2" spans="2:30" x14ac:dyDescent="0.4">
      <c r="B2" s="31" t="s">
        <v>11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12"/>
    </row>
    <row r="3" spans="2:30" ht="15" thickBot="1" x14ac:dyDescent="0.45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13"/>
    </row>
    <row r="4" spans="2:30" ht="15" thickBot="1" x14ac:dyDescent="0.45">
      <c r="B4" s="46" t="s">
        <v>1</v>
      </c>
      <c r="C4" s="6">
        <f>MONTH(C5)</f>
        <v>1</v>
      </c>
      <c r="D4" s="6">
        <f>MONTH(D5)</f>
        <v>2</v>
      </c>
      <c r="E4" s="6">
        <f t="shared" ref="E4:N4" si="0">MONTH(E5)</f>
        <v>3</v>
      </c>
      <c r="F4" s="6">
        <f t="shared" si="0"/>
        <v>4</v>
      </c>
      <c r="G4" s="6">
        <f t="shared" si="0"/>
        <v>5</v>
      </c>
      <c r="H4" s="6">
        <f t="shared" si="0"/>
        <v>6</v>
      </c>
      <c r="I4" s="6">
        <f t="shared" si="0"/>
        <v>7</v>
      </c>
      <c r="J4" s="6">
        <f t="shared" si="0"/>
        <v>8</v>
      </c>
      <c r="K4" s="6">
        <f t="shared" si="0"/>
        <v>9</v>
      </c>
      <c r="L4" s="6">
        <f t="shared" si="0"/>
        <v>10</v>
      </c>
      <c r="M4" s="6">
        <f t="shared" si="0"/>
        <v>11</v>
      </c>
      <c r="N4" s="6">
        <f t="shared" si="0"/>
        <v>12</v>
      </c>
      <c r="O4" s="7"/>
      <c r="P4" s="48" t="s">
        <v>0</v>
      </c>
      <c r="Q4" s="35" t="s">
        <v>12</v>
      </c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</row>
    <row r="5" spans="2:30" ht="15.45" thickTop="1" thickBot="1" x14ac:dyDescent="0.45">
      <c r="B5" s="47"/>
      <c r="C5" s="2">
        <v>44197</v>
      </c>
      <c r="D5" s="2">
        <v>44228</v>
      </c>
      <c r="E5" s="2">
        <v>44256</v>
      </c>
      <c r="F5" s="2">
        <v>44287</v>
      </c>
      <c r="G5" s="2">
        <v>44317</v>
      </c>
      <c r="H5" s="2">
        <v>44348</v>
      </c>
      <c r="I5" s="2">
        <v>44378</v>
      </c>
      <c r="J5" s="2">
        <v>44409</v>
      </c>
      <c r="K5" s="2">
        <v>44440</v>
      </c>
      <c r="L5" s="2">
        <v>44470</v>
      </c>
      <c r="M5" s="2">
        <v>44501</v>
      </c>
      <c r="N5" s="2">
        <v>44531</v>
      </c>
      <c r="O5" s="8"/>
      <c r="P5" s="49"/>
      <c r="Q5" s="35"/>
    </row>
    <row r="6" spans="2:30" ht="19.75" x14ac:dyDescent="0.65">
      <c r="B6" s="14" t="str">
        <f>TRIM("  Electricity  ")</f>
        <v>Electricity</v>
      </c>
      <c r="C6" s="5">
        <v>7000</v>
      </c>
      <c r="D6" s="5">
        <v>8000</v>
      </c>
      <c r="E6" s="5">
        <v>9000</v>
      </c>
      <c r="F6" s="5">
        <v>3000</v>
      </c>
      <c r="G6" s="5">
        <v>3700</v>
      </c>
      <c r="H6" s="5">
        <v>5600</v>
      </c>
      <c r="I6" s="5">
        <v>13000</v>
      </c>
      <c r="J6" s="5">
        <v>9000</v>
      </c>
      <c r="K6" s="5">
        <v>7580</v>
      </c>
      <c r="L6" s="5">
        <v>2600</v>
      </c>
      <c r="M6" s="5">
        <v>1950</v>
      </c>
      <c r="N6" s="5">
        <v>1820</v>
      </c>
      <c r="O6" s="7"/>
      <c r="P6" s="9">
        <f>SUM(C6:N6)</f>
        <v>72250</v>
      </c>
      <c r="Q6" s="15">
        <f>AVERAGE(C6:N6)</f>
        <v>6020.833333333333</v>
      </c>
    </row>
    <row r="7" spans="2:30" ht="19.75" x14ac:dyDescent="0.65">
      <c r="B7" s="14" t="str">
        <f>TRIM("  Gas  ")</f>
        <v>Gas</v>
      </c>
      <c r="C7" s="5">
        <v>1070</v>
      </c>
      <c r="D7" s="5">
        <v>1120</v>
      </c>
      <c r="E7" s="5">
        <v>800</v>
      </c>
      <c r="F7" s="5">
        <v>1300</v>
      </c>
      <c r="G7" s="5">
        <v>1000</v>
      </c>
      <c r="H7" s="5">
        <v>950</v>
      </c>
      <c r="I7" s="5">
        <v>817</v>
      </c>
      <c r="J7" s="5">
        <v>972</v>
      </c>
      <c r="K7" s="5">
        <v>980</v>
      </c>
      <c r="L7" s="5">
        <v>768</v>
      </c>
      <c r="M7" s="5">
        <v>1023</v>
      </c>
      <c r="N7" s="5">
        <v>1203</v>
      </c>
      <c r="O7" s="7"/>
      <c r="P7" s="9">
        <f t="shared" ref="P7:P16" si="1">SUM(C7:N7)</f>
        <v>12003</v>
      </c>
      <c r="Q7" s="15">
        <f t="shared" ref="Q7:Q16" si="2">AVERAGE(C7:N7)</f>
        <v>1000.25</v>
      </c>
    </row>
    <row r="8" spans="2:30" ht="19.75" x14ac:dyDescent="0.65">
      <c r="B8" s="14" t="s">
        <v>2</v>
      </c>
      <c r="C8" s="5">
        <v>700</v>
      </c>
      <c r="D8" s="5">
        <v>700</v>
      </c>
      <c r="E8" s="5">
        <v>700</v>
      </c>
      <c r="F8" s="5">
        <v>700</v>
      </c>
      <c r="G8" s="5">
        <v>700</v>
      </c>
      <c r="H8" s="5">
        <v>700</v>
      </c>
      <c r="I8" s="5">
        <v>700</v>
      </c>
      <c r="J8" s="5">
        <v>700</v>
      </c>
      <c r="K8" s="5">
        <v>700</v>
      </c>
      <c r="L8" s="5">
        <v>700</v>
      </c>
      <c r="M8" s="5">
        <v>700</v>
      </c>
      <c r="N8" s="5">
        <v>700</v>
      </c>
      <c r="O8" s="7"/>
      <c r="P8" s="9">
        <f>SUM(C8:N8)</f>
        <v>8400</v>
      </c>
      <c r="Q8" s="15">
        <f>AVERAGE(C8:N8)</f>
        <v>700</v>
      </c>
    </row>
    <row r="9" spans="2:30" ht="19.75" x14ac:dyDescent="0.65">
      <c r="B9" s="14" t="s">
        <v>3</v>
      </c>
      <c r="C9" s="5">
        <v>8000</v>
      </c>
      <c r="D9" s="5">
        <v>15000</v>
      </c>
      <c r="E9" s="5">
        <v>9000</v>
      </c>
      <c r="F9" s="5">
        <v>7500</v>
      </c>
      <c r="G9" s="5">
        <v>2000</v>
      </c>
      <c r="H9" s="5">
        <v>3500</v>
      </c>
      <c r="I9" s="5">
        <v>2100</v>
      </c>
      <c r="J9" s="5">
        <v>18000</v>
      </c>
      <c r="K9" s="5">
        <v>6000</v>
      </c>
      <c r="L9" s="5">
        <v>5400</v>
      </c>
      <c r="M9" s="5">
        <v>2330</v>
      </c>
      <c r="N9" s="5">
        <v>2300</v>
      </c>
      <c r="O9" s="7"/>
      <c r="P9" s="9">
        <f t="shared" si="1"/>
        <v>81130</v>
      </c>
      <c r="Q9" s="15">
        <f t="shared" si="2"/>
        <v>6760.833333333333</v>
      </c>
    </row>
    <row r="10" spans="2:30" ht="19.75" x14ac:dyDescent="0.65">
      <c r="B10" s="14" t="s">
        <v>4</v>
      </c>
      <c r="C10" s="5">
        <v>1000</v>
      </c>
      <c r="D10" s="5">
        <v>1300</v>
      </c>
      <c r="E10" s="5">
        <v>1250</v>
      </c>
      <c r="F10" s="5">
        <v>1460</v>
      </c>
      <c r="G10" s="5">
        <v>1750</v>
      </c>
      <c r="H10" s="5">
        <v>1000</v>
      </c>
      <c r="I10" s="5">
        <v>1000</v>
      </c>
      <c r="J10" s="5">
        <v>1000</v>
      </c>
      <c r="K10" s="5">
        <v>1389</v>
      </c>
      <c r="L10" s="5">
        <v>2000</v>
      </c>
      <c r="M10" s="5">
        <v>2340</v>
      </c>
      <c r="N10" s="5">
        <v>1000</v>
      </c>
      <c r="O10" s="7"/>
      <c r="P10" s="9">
        <f t="shared" si="1"/>
        <v>16489</v>
      </c>
      <c r="Q10" s="15">
        <f t="shared" si="2"/>
        <v>1374.0833333333333</v>
      </c>
    </row>
    <row r="11" spans="2:30" ht="19.75" x14ac:dyDescent="0.65">
      <c r="B11" s="14" t="s">
        <v>5</v>
      </c>
      <c r="C11" s="5">
        <v>0</v>
      </c>
      <c r="D11" s="5">
        <v>12000</v>
      </c>
      <c r="E11" s="5">
        <v>8000</v>
      </c>
      <c r="F11" s="5">
        <v>23230</v>
      </c>
      <c r="G11" s="5">
        <v>0</v>
      </c>
      <c r="H11" s="5">
        <v>0</v>
      </c>
      <c r="I11" s="5">
        <v>7800</v>
      </c>
      <c r="J11" s="5">
        <v>8000</v>
      </c>
      <c r="K11" s="5">
        <v>9602</v>
      </c>
      <c r="L11" s="5">
        <v>2830</v>
      </c>
      <c r="M11" s="5">
        <v>2340</v>
      </c>
      <c r="N11" s="5">
        <v>0</v>
      </c>
      <c r="O11" s="7"/>
      <c r="P11" s="9">
        <f t="shared" si="1"/>
        <v>73802</v>
      </c>
      <c r="Q11" s="15">
        <f t="shared" si="2"/>
        <v>6150.166666666667</v>
      </c>
    </row>
    <row r="12" spans="2:30" ht="19.75" x14ac:dyDescent="0.65">
      <c r="B12" s="14" t="s">
        <v>6</v>
      </c>
      <c r="C12" s="5">
        <v>1500</v>
      </c>
      <c r="D12" s="5">
        <v>1500</v>
      </c>
      <c r="E12" s="5">
        <v>1500</v>
      </c>
      <c r="F12" s="5">
        <v>1500</v>
      </c>
      <c r="G12" s="5">
        <v>1500</v>
      </c>
      <c r="H12" s="5">
        <v>1500</v>
      </c>
      <c r="I12" s="5">
        <v>1500</v>
      </c>
      <c r="J12" s="5">
        <v>1500</v>
      </c>
      <c r="K12" s="5">
        <v>1500</v>
      </c>
      <c r="L12" s="5">
        <v>1500</v>
      </c>
      <c r="M12" s="5">
        <v>1500</v>
      </c>
      <c r="N12" s="5">
        <v>1500</v>
      </c>
      <c r="O12" s="7"/>
      <c r="P12" s="9">
        <f t="shared" si="1"/>
        <v>18000</v>
      </c>
      <c r="Q12" s="15">
        <f t="shared" si="2"/>
        <v>1500</v>
      </c>
    </row>
    <row r="13" spans="2:30" ht="19.75" x14ac:dyDescent="0.65">
      <c r="B13" s="14" t="s">
        <v>7</v>
      </c>
      <c r="C13" s="5">
        <v>25670</v>
      </c>
      <c r="D13" s="5">
        <v>24900</v>
      </c>
      <c r="E13" s="5">
        <v>30193</v>
      </c>
      <c r="F13" s="5">
        <v>23000</v>
      </c>
      <c r="G13" s="5">
        <v>35000</v>
      </c>
      <c r="H13" s="5">
        <v>18000</v>
      </c>
      <c r="I13" s="5">
        <v>26700</v>
      </c>
      <c r="J13" s="5">
        <v>24000</v>
      </c>
      <c r="K13" s="5">
        <v>23789</v>
      </c>
      <c r="L13" s="5">
        <v>29000</v>
      </c>
      <c r="M13" s="5">
        <v>38000</v>
      </c>
      <c r="N13" s="5">
        <v>27889</v>
      </c>
      <c r="O13" s="7"/>
      <c r="P13" s="9">
        <f t="shared" si="1"/>
        <v>326141</v>
      </c>
      <c r="Q13" s="15">
        <f t="shared" si="2"/>
        <v>27178.416666666668</v>
      </c>
    </row>
    <row r="14" spans="2:30" ht="19.75" x14ac:dyDescent="0.65">
      <c r="B14" s="14" t="s">
        <v>8</v>
      </c>
      <c r="C14" s="5">
        <v>25900</v>
      </c>
      <c r="D14" s="5">
        <v>23566</v>
      </c>
      <c r="E14" s="5">
        <v>32300</v>
      </c>
      <c r="F14" s="5">
        <v>32583</v>
      </c>
      <c r="G14" s="5">
        <v>21000</v>
      </c>
      <c r="H14" s="5">
        <v>23123</v>
      </c>
      <c r="I14" s="5">
        <v>24516</v>
      </c>
      <c r="J14" s="5">
        <v>35269</v>
      </c>
      <c r="K14" s="5">
        <v>23781</v>
      </c>
      <c r="L14" s="5">
        <v>23723</v>
      </c>
      <c r="M14" s="5">
        <v>23771</v>
      </c>
      <c r="N14" s="5">
        <v>23421</v>
      </c>
      <c r="O14" s="7"/>
      <c r="P14" s="9">
        <f t="shared" si="1"/>
        <v>312953</v>
      </c>
      <c r="Q14" s="15">
        <f t="shared" si="2"/>
        <v>26079.416666666668</v>
      </c>
    </row>
    <row r="15" spans="2:30" ht="19.75" x14ac:dyDescent="0.65">
      <c r="B15" s="14" t="s">
        <v>9</v>
      </c>
      <c r="C15" s="5">
        <v>5000</v>
      </c>
      <c r="D15" s="5">
        <v>5000</v>
      </c>
      <c r="E15" s="5">
        <v>5000</v>
      </c>
      <c r="F15" s="5">
        <v>5000</v>
      </c>
      <c r="G15" s="5">
        <v>5000</v>
      </c>
      <c r="H15" s="5">
        <v>5000</v>
      </c>
      <c r="I15" s="5">
        <v>5000</v>
      </c>
      <c r="J15" s="5">
        <v>5000</v>
      </c>
      <c r="K15" s="5">
        <v>5000</v>
      </c>
      <c r="L15" s="5">
        <v>5000</v>
      </c>
      <c r="M15" s="5">
        <v>5000</v>
      </c>
      <c r="N15" s="5">
        <v>5000</v>
      </c>
      <c r="O15" s="7"/>
      <c r="P15" s="9">
        <f t="shared" si="1"/>
        <v>60000</v>
      </c>
      <c r="Q15" s="15">
        <f t="shared" si="2"/>
        <v>5000</v>
      </c>
    </row>
    <row r="16" spans="2:30" ht="19.75" x14ac:dyDescent="0.65">
      <c r="B16" s="14" t="s">
        <v>10</v>
      </c>
      <c r="C16" s="5">
        <v>4500</v>
      </c>
      <c r="D16" s="5">
        <v>12300</v>
      </c>
      <c r="E16" s="5">
        <v>2356</v>
      </c>
      <c r="F16" s="5">
        <v>23459</v>
      </c>
      <c r="G16" s="5">
        <v>8389</v>
      </c>
      <c r="H16" s="5"/>
      <c r="I16" s="5">
        <v>9907</v>
      </c>
      <c r="J16" s="5">
        <v>3882</v>
      </c>
      <c r="K16" s="5">
        <v>3848</v>
      </c>
      <c r="L16" s="5">
        <v>2939</v>
      </c>
      <c r="M16" s="5">
        <v>2838</v>
      </c>
      <c r="N16" s="5">
        <v>2838</v>
      </c>
      <c r="O16" s="7"/>
      <c r="P16" s="9">
        <f t="shared" si="1"/>
        <v>77256</v>
      </c>
      <c r="Q16" s="15">
        <f t="shared" si="2"/>
        <v>7023.272727272727</v>
      </c>
    </row>
    <row r="17" spans="1:17" x14ac:dyDescent="0.4">
      <c r="B17" s="1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1:17" ht="16.75" x14ac:dyDescent="0.55000000000000004">
      <c r="B18" s="23" t="s">
        <v>0</v>
      </c>
      <c r="C18" s="10">
        <f t="shared" ref="C18:N18" si="3">SUM(C6:C17)</f>
        <v>80340</v>
      </c>
      <c r="D18" s="10">
        <f t="shared" si="3"/>
        <v>105386</v>
      </c>
      <c r="E18" s="10">
        <f t="shared" si="3"/>
        <v>100099</v>
      </c>
      <c r="F18" s="10">
        <f t="shared" si="3"/>
        <v>122732</v>
      </c>
      <c r="G18" s="10">
        <f t="shared" si="3"/>
        <v>80039</v>
      </c>
      <c r="H18" s="10">
        <f t="shared" si="3"/>
        <v>59373</v>
      </c>
      <c r="I18" s="10">
        <f t="shared" si="3"/>
        <v>93040</v>
      </c>
      <c r="J18" s="10">
        <f t="shared" si="3"/>
        <v>107323</v>
      </c>
      <c r="K18" s="10">
        <f t="shared" si="3"/>
        <v>84169</v>
      </c>
      <c r="L18" s="10">
        <f t="shared" si="3"/>
        <v>76460</v>
      </c>
      <c r="M18" s="10">
        <f t="shared" si="3"/>
        <v>81792</v>
      </c>
      <c r="N18" s="10">
        <f t="shared" si="3"/>
        <v>67671</v>
      </c>
      <c r="O18" s="7"/>
      <c r="P18" s="25">
        <f>SUM(P6:P17)</f>
        <v>1058424</v>
      </c>
      <c r="Q18" s="25">
        <f>SUM(Q6:Q16)</f>
        <v>88787.272727272721</v>
      </c>
    </row>
    <row r="19" spans="1:17" ht="17.149999999999999" thickBot="1" x14ac:dyDescent="0.45">
      <c r="B19" s="24" t="s">
        <v>12</v>
      </c>
      <c r="C19" s="17">
        <f>AVERAGE(C6:C16)</f>
        <v>7303.636363636364</v>
      </c>
      <c r="D19" s="17">
        <f t="shared" ref="D19:N19" si="4">AVERAGE(D6:D16)</f>
        <v>9580.545454545454</v>
      </c>
      <c r="E19" s="17">
        <f t="shared" si="4"/>
        <v>9099.9090909090901</v>
      </c>
      <c r="F19" s="17">
        <f t="shared" si="4"/>
        <v>11157.454545454546</v>
      </c>
      <c r="G19" s="17">
        <f t="shared" si="4"/>
        <v>7276.272727272727</v>
      </c>
      <c r="H19" s="17">
        <f t="shared" si="4"/>
        <v>5937.3</v>
      </c>
      <c r="I19" s="17">
        <f t="shared" si="4"/>
        <v>8458.181818181818</v>
      </c>
      <c r="J19" s="17">
        <f t="shared" si="4"/>
        <v>9756.636363636364</v>
      </c>
      <c r="K19" s="17">
        <f t="shared" si="4"/>
        <v>7651.727272727273</v>
      </c>
      <c r="L19" s="17">
        <f t="shared" si="4"/>
        <v>6950.909090909091</v>
      </c>
      <c r="M19" s="17">
        <f t="shared" si="4"/>
        <v>7435.636363636364</v>
      </c>
      <c r="N19" s="17">
        <f t="shared" si="4"/>
        <v>6151.909090909091</v>
      </c>
      <c r="O19" s="7"/>
      <c r="P19" s="25">
        <f>SUM(C19:N19)</f>
        <v>96760.118181818179</v>
      </c>
      <c r="Q19" s="6">
        <f>AVERAGE(C19:N19)</f>
        <v>8063.3431818181816</v>
      </c>
    </row>
    <row r="21" spans="1:17" x14ac:dyDescent="0.4">
      <c r="J21" t="s">
        <v>14</v>
      </c>
    </row>
    <row r="22" spans="1:17" x14ac:dyDescent="0.4">
      <c r="F22" s="1">
        <v>44378</v>
      </c>
      <c r="M22" s="11"/>
    </row>
    <row r="23" spans="1:17" x14ac:dyDescent="0.4">
      <c r="B23" s="36"/>
      <c r="C23" s="36"/>
      <c r="D23" s="36"/>
      <c r="E23" s="36"/>
      <c r="F23" s="36"/>
      <c r="G23" s="36"/>
      <c r="H23" s="36"/>
      <c r="I23" s="36"/>
      <c r="J23" s="36"/>
      <c r="K23" s="36"/>
      <c r="M23" s="11"/>
    </row>
    <row r="24" spans="1:17" ht="18.45" x14ac:dyDescent="0.5">
      <c r="B24" s="38" t="s">
        <v>27</v>
      </c>
      <c r="C24" s="38"/>
      <c r="D24" s="38"/>
      <c r="E24" s="38"/>
      <c r="F24" s="38"/>
      <c r="G24" s="38"/>
      <c r="H24" s="38"/>
      <c r="I24" s="38"/>
      <c r="J24" s="38"/>
    </row>
    <row r="25" spans="1:17" x14ac:dyDescent="0.4">
      <c r="B25" s="7" t="s">
        <v>23</v>
      </c>
      <c r="C25" s="7" t="s">
        <v>24</v>
      </c>
      <c r="D25" s="7" t="s">
        <v>26</v>
      </c>
      <c r="E25" s="7" t="s">
        <v>28</v>
      </c>
      <c r="F25" s="7" t="s">
        <v>29</v>
      </c>
      <c r="G25" s="7" t="s">
        <v>37</v>
      </c>
      <c r="H25" s="7" t="s">
        <v>30</v>
      </c>
      <c r="I25" s="7"/>
    </row>
    <row r="26" spans="1:17" ht="19.75" x14ac:dyDescent="0.65">
      <c r="A26" s="14" t="str">
        <f>TRIM("  Electricity  ")</f>
        <v>Electricity</v>
      </c>
      <c r="B26">
        <f>SUMIF(C6:N6,"&gt;5600", C6:N6)</f>
        <v>53580</v>
      </c>
      <c r="C26">
        <f>COUNT(C6:N6)</f>
        <v>12</v>
      </c>
      <c r="D26">
        <f>AVERAGEIF(C6:N6,"&gt;500", C6:N6)</f>
        <v>6020.833333333333</v>
      </c>
      <c r="E26">
        <f>SUMIFS(C6:C16,B6:B16,A26,C6:C16, "&gt;5000")</f>
        <v>7000</v>
      </c>
      <c r="F26">
        <f>AVERAGEIFS(C6:N6,C6:N6,"&gt;500")</f>
        <v>6020.833333333333</v>
      </c>
      <c r="G26">
        <f>IF(C6&gt;5000,1,0)</f>
        <v>1</v>
      </c>
      <c r="H26" cm="1">
        <f t="array" ref="H26">_xlfn.IFS(SUM(C6:N6)&gt;80000,1,SUM(C6:N6)&lt;80000,0)</f>
        <v>0</v>
      </c>
      <c r="I26" cm="1">
        <f t="array" ref="I26">_xlfn.IFS(AND(SUM(C6:N6)&gt;70000, SUM(C6:N6)&lt;80000),1,AND(SUM(C6:N6)&gt;80000, SUM(C6:N6)&lt;90000),2, SUM(C6:N6)&lt;70000,0,SUM(C6:N6)&gt;90000,3)</f>
        <v>1</v>
      </c>
    </row>
    <row r="27" spans="1:17" ht="19.75" x14ac:dyDescent="0.65">
      <c r="A27" s="14" t="s">
        <v>13</v>
      </c>
      <c r="B27">
        <f>SUMIF(C7:N7,"&gt;5600", C7:N7)</f>
        <v>0</v>
      </c>
      <c r="C27">
        <f t="shared" ref="C27" si="5">COUNT(C7:N7)</f>
        <v>12</v>
      </c>
      <c r="D27">
        <f t="shared" ref="D27" si="6">AVERAGEIF(C7:N7,"&gt;500", C7:N7)</f>
        <v>1000.25</v>
      </c>
      <c r="E27">
        <f t="shared" ref="E27:E37" si="7">SUMIFS(C7:C17,B7:B17,A27,C7:C17, "&gt;5000")</f>
        <v>0</v>
      </c>
      <c r="F27">
        <f t="shared" ref="F27" si="8">AVERAGEIFS(C7:N7,C7:N7,"&gt;500")</f>
        <v>1000.25</v>
      </c>
      <c r="G27">
        <f t="shared" ref="G27" si="9">IF(C7&gt;5000,1,0)</f>
        <v>0</v>
      </c>
      <c r="H27" cm="1">
        <f t="array" ref="H27">_xlfn.IFS(SUM(C7:N7)&gt;80000,1,SUM(C7:N7)&lt;80000,0)</f>
        <v>0</v>
      </c>
      <c r="I27" cm="1">
        <f t="array" ref="I27">_xlfn.IFS(AND(SUM(C7:N7)&gt;70000, SUM(C7:N7)&lt;80000),1,AND(SUM(C7:N7)&gt;80000, SUM(C7:N7)&lt;90000),2, SUM(C7:N7)&lt;70000,0,SUM(C7:N7)&gt;90000,3)</f>
        <v>0</v>
      </c>
    </row>
    <row r="28" spans="1:17" ht="19.75" x14ac:dyDescent="0.65">
      <c r="A28" s="14" t="s">
        <v>2</v>
      </c>
      <c r="B28">
        <f>SUMIF(C8:N8,"&gt;5600", C8:N8)</f>
        <v>0</v>
      </c>
      <c r="C28">
        <f>COUNT(C8:N8)</f>
        <v>12</v>
      </c>
      <c r="D28">
        <f>AVERAGEIF(C8:N8,"&gt;500", C8:N8)</f>
        <v>700</v>
      </c>
      <c r="E28">
        <f t="shared" si="7"/>
        <v>0</v>
      </c>
      <c r="F28">
        <f>AVERAGEIFS(C8:M8,C8:M8,"&gt;500")</f>
        <v>700</v>
      </c>
      <c r="G28">
        <f>IF(C8&gt;5000,1,0)</f>
        <v>0</v>
      </c>
      <c r="H28" cm="1">
        <f t="array" ref="H28">_xlfn.IFS(SUM(C8:N8)&gt;80000,1,SUM(C8:N8)&lt;80000,0)</f>
        <v>0</v>
      </c>
      <c r="I28" cm="1">
        <f t="array" ref="I28">_xlfn.IFS(AND(SUM(C8:N8)&gt;70000, SUM(C8:N8)&lt;80000),1,AND(SUM(C8:N8)&gt;80000, SUM(C8:N8)&lt;90000),2, SUM(C8:N8)&lt;70000,0,SUM(C8:N8)&gt;90000,3)</f>
        <v>0</v>
      </c>
    </row>
    <row r="29" spans="1:17" ht="19.75" x14ac:dyDescent="0.65">
      <c r="A29" s="14" t="s">
        <v>3</v>
      </c>
      <c r="B29">
        <f t="shared" ref="B29:B36" si="10">SUMIF(C9:N9,"&gt;5600", C9:N9)</f>
        <v>63500</v>
      </c>
      <c r="C29">
        <f t="shared" ref="C29:C36" si="11">COUNT(C9:N9)</f>
        <v>12</v>
      </c>
      <c r="D29">
        <f t="shared" ref="D29:D36" si="12">AVERAGEIF(C9:N9,"&gt;500", C9:N9)</f>
        <v>6760.833333333333</v>
      </c>
      <c r="E29">
        <f t="shared" si="7"/>
        <v>8000</v>
      </c>
      <c r="F29">
        <f t="shared" ref="F29:F36" si="13">AVERAGEIFS(C9:N9,C9:N9,"&gt;500")</f>
        <v>6760.833333333333</v>
      </c>
      <c r="G29">
        <f t="shared" ref="G29:G36" si="14">IF(C9&gt;5000,1,0)</f>
        <v>1</v>
      </c>
      <c r="H29" cm="1">
        <f t="array" ref="H29">_xlfn.IFS(SUM(C9:N9)&gt;80000,1,SUM(C9:N9)&lt;80000,0)</f>
        <v>1</v>
      </c>
      <c r="I29" cm="1">
        <f t="array" ref="I29">_xlfn.IFS(AND(SUM(C9:N9)&gt;70000, SUM(C9:N9)&lt;80000),1,AND(SUM(C9:N9)&gt;80000, SUM(C9:N9)&lt;90000),2, SUM(C9:N9)&lt;70000,0,SUM(C9:N9)&gt;90000,3)</f>
        <v>2</v>
      </c>
    </row>
    <row r="30" spans="1:17" ht="19.75" x14ac:dyDescent="0.65">
      <c r="A30" s="14" t="s">
        <v>4</v>
      </c>
      <c r="B30">
        <f t="shared" si="10"/>
        <v>0</v>
      </c>
      <c r="C30">
        <f t="shared" si="11"/>
        <v>12</v>
      </c>
      <c r="D30">
        <f t="shared" si="12"/>
        <v>1374.0833333333333</v>
      </c>
      <c r="E30">
        <f t="shared" si="7"/>
        <v>0</v>
      </c>
      <c r="F30">
        <f t="shared" si="13"/>
        <v>1374.0833333333333</v>
      </c>
      <c r="G30">
        <f t="shared" si="14"/>
        <v>0</v>
      </c>
      <c r="H30" cm="1">
        <f t="array" ref="H30">_xlfn.IFS(SUM(C10:N10)&gt;80000,1,SUM(C10:N10)&lt;80000,0)</f>
        <v>0</v>
      </c>
      <c r="I30" cm="1">
        <f t="array" ref="I30">_xlfn.IFS(AND(SUM(C10:N10)&gt;70000, SUM(C10:N10)&lt;80000),1,AND(SUM(C10:N10)&gt;80000, SUM(C10:N10)&lt;90000),2, SUM(C10:N10)&lt;70000,0,SUM(C10:N10)&gt;90000,3)</f>
        <v>0</v>
      </c>
    </row>
    <row r="31" spans="1:17" ht="19.75" x14ac:dyDescent="0.65">
      <c r="A31" s="14" t="s">
        <v>5</v>
      </c>
      <c r="B31">
        <f t="shared" si="10"/>
        <v>68632</v>
      </c>
      <c r="C31">
        <f t="shared" si="11"/>
        <v>12</v>
      </c>
      <c r="D31">
        <f t="shared" si="12"/>
        <v>9225.25</v>
      </c>
      <c r="E31">
        <f t="shared" si="7"/>
        <v>0</v>
      </c>
      <c r="F31">
        <f t="shared" si="13"/>
        <v>9225.25</v>
      </c>
      <c r="G31">
        <f t="shared" si="14"/>
        <v>0</v>
      </c>
      <c r="H31" cm="1">
        <f t="array" ref="H31">_xlfn.IFS(SUM(C11:N11)&gt;80000,1,SUM(C11:N11)&lt;80000,0)</f>
        <v>0</v>
      </c>
      <c r="I31" cm="1">
        <f t="array" ref="I31">_xlfn.IFS(AND(SUM(C11:N11)&gt;70000, SUM(C11:N11)&lt;80000),1,AND(SUM(C11:N11)&gt;80000, SUM(C11:N11)&lt;90000),2, SUM(C11:N11)&lt;70000,0,SUM(C11:N11)&gt;90000,3)</f>
        <v>1</v>
      </c>
    </row>
    <row r="32" spans="1:17" ht="19.75" x14ac:dyDescent="0.65">
      <c r="A32" s="14" t="s">
        <v>6</v>
      </c>
      <c r="B32">
        <f t="shared" si="10"/>
        <v>0</v>
      </c>
      <c r="C32">
        <f t="shared" si="11"/>
        <v>12</v>
      </c>
      <c r="D32">
        <f t="shared" si="12"/>
        <v>1500</v>
      </c>
      <c r="E32">
        <f t="shared" si="7"/>
        <v>0</v>
      </c>
      <c r="F32">
        <f t="shared" si="13"/>
        <v>1500</v>
      </c>
      <c r="G32">
        <f t="shared" si="14"/>
        <v>0</v>
      </c>
      <c r="H32" cm="1">
        <f t="array" ref="H32">_xlfn.IFS(SUM(C12:N12)&gt;80000,1,SUM(C12:N12)&lt;80000,0)</f>
        <v>0</v>
      </c>
      <c r="I32" cm="1">
        <f t="array" ref="I32">_xlfn.IFS(AND(SUM(C12:N12)&gt;70000, SUM(C12:N12)&lt;80000),1,AND(SUM(C12:N12)&gt;80000, SUM(C12:N12)&lt;90000),2, SUM(C12:N12)&lt;70000,0,SUM(C12:N12)&gt;90000,3)</f>
        <v>0</v>
      </c>
    </row>
    <row r="33" spans="1:17" ht="19.75" x14ac:dyDescent="0.65">
      <c r="A33" s="14" t="s">
        <v>7</v>
      </c>
      <c r="B33">
        <f t="shared" si="10"/>
        <v>326141</v>
      </c>
      <c r="C33">
        <f t="shared" si="11"/>
        <v>12</v>
      </c>
      <c r="D33">
        <f t="shared" si="12"/>
        <v>27178.416666666668</v>
      </c>
      <c r="E33">
        <f t="shared" si="7"/>
        <v>25670</v>
      </c>
      <c r="F33">
        <f t="shared" si="13"/>
        <v>27178.416666666668</v>
      </c>
      <c r="G33">
        <f t="shared" si="14"/>
        <v>1</v>
      </c>
      <c r="H33" cm="1">
        <f t="array" ref="H33">_xlfn.IFS(SUM(C13:N13)&gt;80000,1,SUM(C13:N13)&lt;80000,0)</f>
        <v>1</v>
      </c>
      <c r="I33" cm="1">
        <f t="array" ref="I33">_xlfn.IFS(AND(SUM(C13:N13)&gt;70000, SUM(C13:N13)&lt;80000),1,AND(SUM(C13:N13)&gt;80000, SUM(C13:N13)&lt;90000),2, SUM(C13:N13)&lt;70000,0,SUM(C13:N13)&gt;90000,3)</f>
        <v>3</v>
      </c>
    </row>
    <row r="34" spans="1:17" ht="19.75" x14ac:dyDescent="0.65">
      <c r="A34" s="14" t="s">
        <v>8</v>
      </c>
      <c r="B34">
        <f t="shared" si="10"/>
        <v>312953</v>
      </c>
      <c r="C34">
        <f t="shared" si="11"/>
        <v>12</v>
      </c>
      <c r="D34">
        <f t="shared" si="12"/>
        <v>26079.416666666668</v>
      </c>
      <c r="E34">
        <f t="shared" si="7"/>
        <v>25900</v>
      </c>
      <c r="F34">
        <f t="shared" si="13"/>
        <v>26079.416666666668</v>
      </c>
      <c r="G34">
        <f t="shared" si="14"/>
        <v>1</v>
      </c>
      <c r="H34" cm="1">
        <f t="array" ref="H34">_xlfn.IFS(SUM(C14:N14)&gt;80000,1,SUM(C14:N14)&lt;80000,0)</f>
        <v>1</v>
      </c>
      <c r="I34" cm="1">
        <f t="array" ref="I34">_xlfn.IFS(AND(SUM(C14:N14)&gt;70000, SUM(C14:N14)&lt;80000),1,AND(SUM(C14:N14)&gt;80000, SUM(C14:N14)&lt;90000),2, SUM(C14:N14)&lt;70000,0,SUM(C14:N14)&gt;90000,3)</f>
        <v>3</v>
      </c>
    </row>
    <row r="35" spans="1:17" ht="19.75" x14ac:dyDescent="0.65">
      <c r="A35" s="14" t="s">
        <v>9</v>
      </c>
      <c r="B35">
        <f t="shared" si="10"/>
        <v>0</v>
      </c>
      <c r="C35">
        <f t="shared" si="11"/>
        <v>12</v>
      </c>
      <c r="D35">
        <f t="shared" si="12"/>
        <v>5000</v>
      </c>
      <c r="E35">
        <f t="shared" si="7"/>
        <v>0</v>
      </c>
      <c r="F35">
        <f t="shared" si="13"/>
        <v>5000</v>
      </c>
      <c r="G35">
        <f t="shared" si="14"/>
        <v>0</v>
      </c>
      <c r="H35" cm="1">
        <f t="array" ref="H35">_xlfn.IFS(SUM(C15:N15)&gt;80000,1,SUM(C15:N15)&lt;80000,0)</f>
        <v>0</v>
      </c>
      <c r="I35" cm="1">
        <f t="array" ref="I35">_xlfn.IFS(AND(SUM(C15:N15)&gt;70000, SUM(C15:N15)&lt;80000),1,AND(SUM(C15:N15)&gt;80000, SUM(C15:N15)&lt;90000),2, SUM(C15:N15)&lt;70000,0,SUM(C15:N15)&gt;90000,3)</f>
        <v>0</v>
      </c>
    </row>
    <row r="36" spans="1:17" ht="19.75" x14ac:dyDescent="0.65">
      <c r="A36" s="14" t="s">
        <v>10</v>
      </c>
      <c r="B36">
        <f t="shared" si="10"/>
        <v>54055</v>
      </c>
      <c r="C36">
        <f t="shared" si="11"/>
        <v>11</v>
      </c>
      <c r="D36">
        <f t="shared" si="12"/>
        <v>7023.272727272727</v>
      </c>
      <c r="E36">
        <f t="shared" si="7"/>
        <v>0</v>
      </c>
      <c r="F36">
        <f t="shared" si="13"/>
        <v>7023.272727272727</v>
      </c>
      <c r="G36">
        <f t="shared" si="14"/>
        <v>0</v>
      </c>
      <c r="H36" cm="1">
        <f t="array" ref="H36">_xlfn.IFS(SUM(C16:N16)&gt;80000,1,SUM(C16:N16)&lt;80000,0)</f>
        <v>0</v>
      </c>
      <c r="I36" cm="1">
        <f t="array" ref="I36">_xlfn.IFS(AND(SUM(C16:N16)&gt;70000, SUM(C16:N16)&lt;80000),1,AND(SUM(C16:N16)&gt;80000, SUM(C16:N16)&lt;90000),2, SUM(C16:N16)&lt;70000,0,SUM(C16:N16)&gt;90000,3)</f>
        <v>1</v>
      </c>
      <c r="Q36" s="21"/>
    </row>
    <row r="37" spans="1:17" x14ac:dyDescent="0.4">
      <c r="C37" t="s">
        <v>25</v>
      </c>
      <c r="E37">
        <f t="shared" si="7"/>
        <v>0</v>
      </c>
      <c r="H37" cm="1">
        <f t="array" ref="H37">_xlfn.IFS(SUM(C17:N17)&gt;80000,1,SUM(C17:N17)&lt;80000,0)</f>
        <v>0</v>
      </c>
      <c r="I37" cm="1">
        <f t="array" ref="I37">_xlfn.IFS(AND(SUM(C17:N17)&gt;70000, SUM(C17:N17)&lt;80000),1,AND(SUM(C17:N17)&gt;80000, SUM(C17:N17)&lt;90000),2, SUM(C17:N17)&lt;70000,0,SUM(C17:N17)&gt;90000,3)</f>
        <v>0</v>
      </c>
      <c r="Q37" s="21"/>
    </row>
    <row r="38" spans="1:17" x14ac:dyDescent="0.4">
      <c r="Q38" s="21"/>
    </row>
    <row r="40" spans="1:17" ht="15" thickBot="1" x14ac:dyDescent="0.45"/>
    <row r="41" spans="1:17" ht="18.899999999999999" thickBot="1" x14ac:dyDescent="0.55000000000000004">
      <c r="B41" s="40" t="s">
        <v>15</v>
      </c>
      <c r="C41" s="41"/>
      <c r="D41" s="41"/>
      <c r="E41" s="41"/>
      <c r="F41" s="41"/>
      <c r="G41" s="41"/>
      <c r="H41" s="41"/>
      <c r="I41" s="41"/>
      <c r="J41" s="42"/>
    </row>
    <row r="42" spans="1:17" x14ac:dyDescent="0.4">
      <c r="B42" s="7" t="s">
        <v>18</v>
      </c>
      <c r="C42" s="7" t="s">
        <v>16</v>
      </c>
      <c r="D42" s="7" t="s">
        <v>17</v>
      </c>
    </row>
    <row r="43" spans="1:17" ht="19.75" x14ac:dyDescent="0.65">
      <c r="A43" s="14" t="str">
        <f>TRIM("  Electricity  ")</f>
        <v>Electricity</v>
      </c>
      <c r="B43">
        <f>MATCH(MAX(C6:N6),C6:N6,0)</f>
        <v>7</v>
      </c>
      <c r="C43" cm="1">
        <f t="array" ref="C43">INDEX(C6:N16,1,B43)</f>
        <v>13000</v>
      </c>
      <c r="D43" t="str">
        <f t="shared" ref="D43:D53" si="15">TEXT(DATE(2021, B43,1), "mmmm")</f>
        <v>July</v>
      </c>
    </row>
    <row r="44" spans="1:17" ht="19.75" x14ac:dyDescent="0.65">
      <c r="A44" s="14" t="s">
        <v>13</v>
      </c>
      <c r="B44">
        <f>MATCH(MAX(C7:N7),C7:N7,0)</f>
        <v>4</v>
      </c>
      <c r="C44" cm="1">
        <f t="array" ref="C44">INDEX(C7:N17,1,B44)</f>
        <v>1300</v>
      </c>
      <c r="D44" t="str">
        <f t="shared" si="15"/>
        <v>April</v>
      </c>
      <c r="F44" t="s">
        <v>22</v>
      </c>
    </row>
    <row r="45" spans="1:17" ht="19.75" x14ac:dyDescent="0.65">
      <c r="A45" s="14" t="s">
        <v>2</v>
      </c>
      <c r="B45">
        <f>MATCH(MAX(C8:N8),C8:N8,0)</f>
        <v>1</v>
      </c>
      <c r="C45" cm="1">
        <f t="array" ref="C45">INDEX(C8:N18,1,B45)</f>
        <v>700</v>
      </c>
      <c r="D45" t="str">
        <f t="shared" si="15"/>
        <v>January</v>
      </c>
    </row>
    <row r="46" spans="1:17" ht="19.75" x14ac:dyDescent="0.65">
      <c r="A46" s="14" t="s">
        <v>3</v>
      </c>
      <c r="B46">
        <f t="shared" ref="B46:B53" si="16">MATCH(MAX(C9:N9),C9:N9,0)</f>
        <v>8</v>
      </c>
      <c r="C46" cm="1">
        <f t="array" ref="C46">INDEX(C9:N19,1,B46)</f>
        <v>18000</v>
      </c>
      <c r="D46" t="str">
        <f t="shared" si="15"/>
        <v>August</v>
      </c>
    </row>
    <row r="47" spans="1:17" ht="19.75" x14ac:dyDescent="0.65">
      <c r="A47" s="14" t="s">
        <v>4</v>
      </c>
      <c r="B47">
        <f t="shared" si="16"/>
        <v>11</v>
      </c>
      <c r="C47" cm="1">
        <f t="array" ref="C47">INDEX(C10:N20,1,B47)</f>
        <v>2340</v>
      </c>
      <c r="D47" t="str">
        <f t="shared" si="15"/>
        <v>November</v>
      </c>
    </row>
    <row r="48" spans="1:17" ht="19.75" x14ac:dyDescent="0.65">
      <c r="A48" s="14" t="s">
        <v>5</v>
      </c>
      <c r="B48">
        <f t="shared" si="16"/>
        <v>4</v>
      </c>
      <c r="C48" cm="1">
        <f t="array" ref="C48">INDEX(C11:N21,1,B48)</f>
        <v>23230</v>
      </c>
      <c r="D48" t="str">
        <f t="shared" si="15"/>
        <v>April</v>
      </c>
    </row>
    <row r="49" spans="1:10" ht="19.75" x14ac:dyDescent="0.65">
      <c r="A49" s="14" t="s">
        <v>6</v>
      </c>
      <c r="B49">
        <f t="shared" si="16"/>
        <v>1</v>
      </c>
      <c r="C49" cm="1">
        <f t="array" ref="C49">INDEX(C12:N22,1,B49)</f>
        <v>1500</v>
      </c>
      <c r="D49" t="str">
        <f t="shared" si="15"/>
        <v>January</v>
      </c>
    </row>
    <row r="50" spans="1:10" ht="19.75" x14ac:dyDescent="0.65">
      <c r="A50" s="14" t="s">
        <v>7</v>
      </c>
      <c r="B50">
        <f t="shared" si="16"/>
        <v>11</v>
      </c>
      <c r="C50" cm="1">
        <f t="array" ref="C50">INDEX(C13:N23,1,B50)</f>
        <v>38000</v>
      </c>
      <c r="D50" t="str">
        <f t="shared" si="15"/>
        <v>November</v>
      </c>
    </row>
    <row r="51" spans="1:10" ht="19.75" x14ac:dyDescent="0.65">
      <c r="A51" s="14" t="s">
        <v>8</v>
      </c>
      <c r="B51">
        <f t="shared" si="16"/>
        <v>8</v>
      </c>
      <c r="C51" cm="1">
        <f t="array" ref="C51">INDEX(C14:N24,1,B51)</f>
        <v>35269</v>
      </c>
      <c r="D51" t="str">
        <f t="shared" si="15"/>
        <v>August</v>
      </c>
    </row>
    <row r="52" spans="1:10" ht="19.75" x14ac:dyDescent="0.65">
      <c r="A52" s="14" t="s">
        <v>9</v>
      </c>
      <c r="B52">
        <f t="shared" si="16"/>
        <v>1</v>
      </c>
      <c r="C52" cm="1">
        <f t="array" ref="C52">INDEX(C15:N25,1,B52)</f>
        <v>5000</v>
      </c>
      <c r="D52" t="str">
        <f t="shared" si="15"/>
        <v>January</v>
      </c>
    </row>
    <row r="53" spans="1:10" ht="19.75" x14ac:dyDescent="0.65">
      <c r="A53" s="14" t="s">
        <v>10</v>
      </c>
      <c r="B53">
        <f t="shared" si="16"/>
        <v>4</v>
      </c>
      <c r="C53" cm="1">
        <f t="array" ref="C53">INDEX(C16:N26,1,B53)</f>
        <v>23459</v>
      </c>
      <c r="D53" t="str">
        <f t="shared" si="15"/>
        <v>April</v>
      </c>
    </row>
    <row r="54" spans="1:10" ht="15" thickBot="1" x14ac:dyDescent="0.45"/>
    <row r="55" spans="1:10" ht="15" thickBot="1" x14ac:dyDescent="0.45">
      <c r="B55" s="19" t="s">
        <v>20</v>
      </c>
      <c r="C55" s="20" t="s">
        <v>21</v>
      </c>
      <c r="D55" s="43" t="s">
        <v>19</v>
      </c>
      <c r="E55" s="44"/>
    </row>
    <row r="58" spans="1:10" ht="18.45" x14ac:dyDescent="0.5">
      <c r="B58" s="38" t="s">
        <v>35</v>
      </c>
      <c r="C58" s="39"/>
      <c r="D58" s="39"/>
      <c r="E58" s="39"/>
      <c r="F58" s="39"/>
      <c r="G58" s="39"/>
      <c r="H58" s="39"/>
      <c r="I58" s="39"/>
      <c r="J58" s="39"/>
    </row>
    <row r="59" spans="1:10" x14ac:dyDescent="0.4">
      <c r="A59" s="37" t="s">
        <v>34</v>
      </c>
      <c r="B59" s="37"/>
      <c r="C59" s="7" t="s">
        <v>36</v>
      </c>
      <c r="D59" s="7"/>
    </row>
    <row r="60" spans="1:10" x14ac:dyDescent="0.4">
      <c r="A60" s="3" cm="1">
        <f t="array" ref="A60:A71">TRANSPOSE(C18:N18)</f>
        <v>80340</v>
      </c>
      <c r="B60" t="str">
        <f t="shared" ref="B60:B71" si="17">VLOOKUP(A60,matrix,2,TRUE)</f>
        <v>medium</v>
      </c>
      <c r="C60">
        <f>VLOOKUP(B6,B6:N16,5,FALSE)</f>
        <v>3000</v>
      </c>
    </row>
    <row r="61" spans="1:10" x14ac:dyDescent="0.4">
      <c r="A61" s="3">
        <v>105386</v>
      </c>
      <c r="B61" t="str">
        <f t="shared" si="17"/>
        <v>high</v>
      </c>
      <c r="C61">
        <f t="shared" ref="C61:C70" si="18">VLOOKUP(B7,B7:N17,5,FALSE)</f>
        <v>1300</v>
      </c>
    </row>
    <row r="62" spans="1:10" x14ac:dyDescent="0.4">
      <c r="A62" s="3">
        <v>100099</v>
      </c>
      <c r="B62" t="str">
        <f t="shared" si="17"/>
        <v>high</v>
      </c>
      <c r="C62">
        <f t="shared" si="18"/>
        <v>700</v>
      </c>
    </row>
    <row r="63" spans="1:10" x14ac:dyDescent="0.4">
      <c r="A63" s="3">
        <v>122732</v>
      </c>
      <c r="B63" t="str">
        <f t="shared" si="17"/>
        <v>high</v>
      </c>
      <c r="C63">
        <f t="shared" si="18"/>
        <v>7500</v>
      </c>
      <c r="E63" s="4">
        <v>0</v>
      </c>
      <c r="F63" s="4" t="s">
        <v>31</v>
      </c>
    </row>
    <row r="64" spans="1:10" x14ac:dyDescent="0.4">
      <c r="A64" s="3">
        <v>80039</v>
      </c>
      <c r="B64" t="str">
        <f t="shared" si="17"/>
        <v>medium</v>
      </c>
      <c r="C64">
        <f t="shared" si="18"/>
        <v>1460</v>
      </c>
      <c r="E64" s="4">
        <v>50000</v>
      </c>
      <c r="F64" s="4" t="s">
        <v>32</v>
      </c>
    </row>
    <row r="65" spans="1:13" x14ac:dyDescent="0.4">
      <c r="A65" s="3">
        <v>59373</v>
      </c>
      <c r="B65" t="str">
        <f t="shared" si="17"/>
        <v>medium</v>
      </c>
      <c r="C65">
        <f t="shared" si="18"/>
        <v>23230</v>
      </c>
      <c r="E65" s="4">
        <v>100000</v>
      </c>
      <c r="F65" s="4" t="s">
        <v>33</v>
      </c>
    </row>
    <row r="66" spans="1:13" x14ac:dyDescent="0.4">
      <c r="A66" s="3">
        <v>93040</v>
      </c>
      <c r="B66" t="str">
        <f t="shared" si="17"/>
        <v>medium</v>
      </c>
      <c r="C66">
        <f t="shared" si="18"/>
        <v>1500</v>
      </c>
    </row>
    <row r="67" spans="1:13" x14ac:dyDescent="0.4">
      <c r="A67" s="3">
        <v>107323</v>
      </c>
      <c r="B67" t="str">
        <f t="shared" si="17"/>
        <v>high</v>
      </c>
      <c r="C67">
        <f t="shared" si="18"/>
        <v>23000</v>
      </c>
    </row>
    <row r="68" spans="1:13" x14ac:dyDescent="0.4">
      <c r="A68" s="3">
        <v>84169</v>
      </c>
      <c r="B68" t="str">
        <f t="shared" si="17"/>
        <v>medium</v>
      </c>
      <c r="C68">
        <f t="shared" si="18"/>
        <v>32583</v>
      </c>
    </row>
    <row r="69" spans="1:13" x14ac:dyDescent="0.4">
      <c r="A69" s="3">
        <v>76460</v>
      </c>
      <c r="B69" t="str">
        <f t="shared" si="17"/>
        <v>medium</v>
      </c>
      <c r="C69">
        <f t="shared" si="18"/>
        <v>5000</v>
      </c>
    </row>
    <row r="70" spans="1:13" x14ac:dyDescent="0.4">
      <c r="A70" s="3">
        <v>81792</v>
      </c>
      <c r="B70" t="str">
        <f t="shared" si="17"/>
        <v>medium</v>
      </c>
      <c r="C70">
        <f t="shared" si="18"/>
        <v>23459</v>
      </c>
    </row>
    <row r="71" spans="1:13" x14ac:dyDescent="0.4">
      <c r="A71" s="3">
        <v>67671</v>
      </c>
      <c r="B71" t="str">
        <f t="shared" si="17"/>
        <v>medium</v>
      </c>
    </row>
    <row r="74" spans="1:13" ht="18.45" x14ac:dyDescent="0.5">
      <c r="B74" s="38" t="s">
        <v>38</v>
      </c>
      <c r="C74" s="39"/>
      <c r="D74" s="39"/>
      <c r="E74" s="39"/>
      <c r="F74" s="39"/>
      <c r="G74" s="39"/>
      <c r="H74" s="39"/>
      <c r="I74" s="39"/>
      <c r="J74" s="39"/>
    </row>
    <row r="75" spans="1:13" ht="15" thickBot="1" x14ac:dyDescent="0.45">
      <c r="B75" s="22">
        <v>44197</v>
      </c>
      <c r="C75" s="22">
        <v>44228</v>
      </c>
      <c r="D75" s="22">
        <v>44256</v>
      </c>
      <c r="E75" s="22">
        <v>44287</v>
      </c>
      <c r="F75" s="22">
        <v>44317</v>
      </c>
      <c r="G75" s="22">
        <v>44348</v>
      </c>
      <c r="H75" s="22">
        <v>44378</v>
      </c>
      <c r="I75" s="22">
        <v>44409</v>
      </c>
      <c r="J75" s="22">
        <v>44440</v>
      </c>
      <c r="K75" s="22">
        <v>44470</v>
      </c>
      <c r="L75" s="22">
        <v>44501</v>
      </c>
      <c r="M75" s="22">
        <v>44531</v>
      </c>
    </row>
    <row r="76" spans="1:13" ht="15" thickTop="1" x14ac:dyDescent="0.4">
      <c r="A76" s="3" t="str">
        <f>_xlfn.CONCAT(B10,"+", B11)</f>
        <v>Medical+Dining</v>
      </c>
      <c r="B76" t="str">
        <f>C10&amp;"+"&amp;C11&amp;"="&amp;SUM(C10,C11)</f>
        <v>1000+0=1000</v>
      </c>
      <c r="C76" t="str">
        <f t="shared" ref="C76:M76" si="19">D10&amp;"+"&amp;D11&amp;"="&amp;SUM(D10,D11)</f>
        <v>1300+12000=13300</v>
      </c>
      <c r="D76" t="str">
        <f t="shared" si="19"/>
        <v>1250+8000=9250</v>
      </c>
      <c r="E76" t="str">
        <f t="shared" si="19"/>
        <v>1460+23230=24690</v>
      </c>
      <c r="F76" t="str">
        <f t="shared" si="19"/>
        <v>1750+0=1750</v>
      </c>
      <c r="G76" t="str">
        <f t="shared" si="19"/>
        <v>1000+0=1000</v>
      </c>
      <c r="H76" t="str">
        <f t="shared" si="19"/>
        <v>1000+7800=8800</v>
      </c>
      <c r="I76" t="str">
        <f t="shared" si="19"/>
        <v>1000+8000=9000</v>
      </c>
      <c r="J76" t="str">
        <f t="shared" si="19"/>
        <v>1389+9602=10991</v>
      </c>
      <c r="K76" t="str">
        <f t="shared" si="19"/>
        <v>2000+2830=4830</v>
      </c>
      <c r="L76" t="str">
        <f t="shared" si="19"/>
        <v>2340+2340=4680</v>
      </c>
      <c r="M76" t="str">
        <f t="shared" si="19"/>
        <v>1000+0=1000</v>
      </c>
    </row>
    <row r="83" spans="1:10" ht="18.45" x14ac:dyDescent="0.5">
      <c r="B83" s="38" t="s">
        <v>41</v>
      </c>
      <c r="C83" s="39"/>
      <c r="D83" s="39"/>
      <c r="E83" s="39"/>
      <c r="F83" s="39"/>
      <c r="G83" s="39"/>
      <c r="H83" s="39"/>
      <c r="I83" s="39"/>
      <c r="J83" s="39"/>
    </row>
    <row r="84" spans="1:10" x14ac:dyDescent="0.4">
      <c r="B84" s="7" t="s">
        <v>39</v>
      </c>
      <c r="C84" s="7" t="s">
        <v>40</v>
      </c>
    </row>
    <row r="85" spans="1:10" ht="19.75" x14ac:dyDescent="0.65">
      <c r="A85" s="14" t="str">
        <f>TRIM("  Electricity  ")</f>
        <v>Electricity</v>
      </c>
      <c r="B85">
        <f>SUM(C6:N6)</f>
        <v>72250</v>
      </c>
      <c r="C85">
        <f>AVERAGE(C6:N6)</f>
        <v>6020.833333333333</v>
      </c>
    </row>
    <row r="86" spans="1:10" ht="19.75" x14ac:dyDescent="0.65">
      <c r="A86" s="14" t="s">
        <v>13</v>
      </c>
      <c r="B86">
        <f>SUM(C7:N7)</f>
        <v>12003</v>
      </c>
      <c r="C86">
        <f>AVERAGE(C7:N7)</f>
        <v>1000.25</v>
      </c>
    </row>
    <row r="87" spans="1:10" ht="19.75" x14ac:dyDescent="0.65">
      <c r="A87" s="14" t="s">
        <v>2</v>
      </c>
      <c r="B87">
        <f>SUM(C8:N8)</f>
        <v>8400</v>
      </c>
      <c r="C87">
        <f>AVERAGE(C8:N8)</f>
        <v>700</v>
      </c>
    </row>
    <row r="88" spans="1:10" ht="19.75" x14ac:dyDescent="0.65">
      <c r="A88" s="14" t="s">
        <v>3</v>
      </c>
      <c r="B88">
        <f>SUM(C9:N9)</f>
        <v>81130</v>
      </c>
      <c r="C88">
        <f>AVERAGE(C9:N9)</f>
        <v>6760.833333333333</v>
      </c>
      <c r="E88" s="26"/>
      <c r="F88" s="14" t="s">
        <v>4</v>
      </c>
    </row>
    <row r="89" spans="1:10" ht="19.75" x14ac:dyDescent="0.65">
      <c r="E89" s="26"/>
      <c r="F89" s="14" t="s">
        <v>5</v>
      </c>
    </row>
    <row r="90" spans="1:10" ht="19.75" x14ac:dyDescent="0.65">
      <c r="E90" s="26"/>
      <c r="F90" s="14" t="s">
        <v>6</v>
      </c>
    </row>
    <row r="91" spans="1:10" ht="19.75" x14ac:dyDescent="0.65">
      <c r="E91" s="26"/>
    </row>
    <row r="92" spans="1:10" ht="19.75" x14ac:dyDescent="0.65">
      <c r="A92" s="14" t="s">
        <v>7</v>
      </c>
      <c r="B92">
        <f>SUM(C13:N13)</f>
        <v>326141</v>
      </c>
      <c r="C92">
        <f>AVERAGE(C13:N13)</f>
        <v>27178.416666666668</v>
      </c>
      <c r="E92" s="26"/>
      <c r="F92" s="14" t="s">
        <v>8</v>
      </c>
    </row>
    <row r="93" spans="1:10" ht="19.75" x14ac:dyDescent="0.65">
      <c r="E93" s="26"/>
      <c r="F93" s="14" t="s">
        <v>9</v>
      </c>
    </row>
    <row r="94" spans="1:10" ht="19.75" x14ac:dyDescent="0.65">
      <c r="E94" s="26"/>
      <c r="F94" s="14" t="s">
        <v>10</v>
      </c>
    </row>
    <row r="95" spans="1:10" ht="19.75" x14ac:dyDescent="0.65">
      <c r="E95" s="26"/>
    </row>
    <row r="98" spans="2:12" x14ac:dyDescent="0.4">
      <c r="B98" s="45" t="s">
        <v>42</v>
      </c>
      <c r="C98" s="45"/>
      <c r="D98" s="45"/>
      <c r="E98" s="45"/>
      <c r="F98" s="45"/>
      <c r="G98" s="45"/>
      <c r="H98" s="45"/>
      <c r="I98" s="45"/>
      <c r="J98" s="45"/>
      <c r="K98" s="45"/>
      <c r="L98" s="45"/>
    </row>
  </sheetData>
  <mergeCells count="13">
    <mergeCell ref="B24:J24"/>
    <mergeCell ref="B2:P3"/>
    <mergeCell ref="B4:B5"/>
    <mergeCell ref="P4:P5"/>
    <mergeCell ref="Q4:Q5"/>
    <mergeCell ref="B23:K23"/>
    <mergeCell ref="B98:L98"/>
    <mergeCell ref="B41:J41"/>
    <mergeCell ref="D55:E55"/>
    <mergeCell ref="B58:J58"/>
    <mergeCell ref="A59:B59"/>
    <mergeCell ref="B74:J74"/>
    <mergeCell ref="B83:J83"/>
  </mergeCells>
  <conditionalFormatting sqref="C6:N6">
    <cfRule type="dataBar" priority="17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{46FA18C3-ED66-44C4-86F9-CF702CF1CFAF}</x14:id>
        </ext>
      </extLst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{B3F59F97-9164-49E3-B5BB-5CB2FBF5CF4F}</x14:id>
        </ext>
      </extLst>
    </cfRule>
  </conditionalFormatting>
  <conditionalFormatting sqref="C7:N7">
    <cfRule type="dataBar" priority="12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{9600F498-8EB3-4919-AAAA-D9C24E7A555B}</x14:id>
        </ext>
      </extLst>
    </cfRule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{8F8F8AA1-9B27-4261-B282-EA20D7D55AD2}</x14:id>
        </ext>
      </extLst>
    </cfRule>
  </conditionalFormatting>
  <conditionalFormatting sqref="C8:N8">
    <cfRule type="dataBar" priority="11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{B8C8C7F7-63BA-4ABC-9890-33BA24A75383}</x14:id>
        </ext>
      </extLst>
    </cfRule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{88DEA6E4-0F00-4099-96CE-2C5EC3754544}</x14:id>
        </ext>
      </extLst>
    </cfRule>
  </conditionalFormatting>
  <conditionalFormatting sqref="C9:N9">
    <cfRule type="dataBar" priority="10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{FCF1B482-3C71-428A-9F00-2ECF5EB571B3}</x14:id>
        </ext>
      </extLst>
    </cfRule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{8FB388E1-7AFB-493E-9BDA-A66B197AD460}</x14:id>
        </ext>
      </extLst>
    </cfRule>
  </conditionalFormatting>
  <conditionalFormatting sqref="C10:N10">
    <cfRule type="dataBar" priority="9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{320A14E9-3B99-4862-9810-C7AD5A7B8A73}</x14:id>
        </ext>
      </extLst>
    </cfRule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{EA0F2F7E-53A8-40D4-A67B-C666996CDA6C}</x14:id>
        </ext>
      </extLst>
    </cfRule>
  </conditionalFormatting>
  <conditionalFormatting sqref="C11:N11">
    <cfRule type="dataBar" priority="3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{9C3F6AA6-D70E-4F5E-B509-96C98C9BA8FF}</x14:id>
        </ext>
      </extLst>
    </cfRule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{FA923932-4EF2-477D-805A-B584DE5EED25}</x14:id>
        </ext>
      </extLst>
    </cfRule>
  </conditionalFormatting>
  <conditionalFormatting sqref="C12:N12">
    <cfRule type="dataBar" priority="4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{53ACCA69-47B8-443B-8D37-4D945194E60C}</x14:id>
        </ext>
      </extLst>
    </cfRule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{A5B84DFB-93F9-47C7-A0D2-DDBBB67DE80C}</x14:id>
        </ext>
      </extLst>
    </cfRule>
  </conditionalFormatting>
  <conditionalFormatting sqref="C13:N13">
    <cfRule type="dataBar" priority="5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{0C8247F6-B822-4A55-8992-38954B1219E0}</x14:id>
        </ext>
      </extLst>
    </cfRule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{829293FB-57DA-4E71-AAE2-635429BA0EFE}</x14:id>
        </ext>
      </extLst>
    </cfRule>
  </conditionalFormatting>
  <conditionalFormatting sqref="C14:N14">
    <cfRule type="dataBar" priority="7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{C066F709-16F3-47F1-93A8-1BF6283CE1C7}</x14:id>
        </ext>
      </extLst>
    </cfRule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{8300EE66-A059-48AE-964F-FEFB0D8D145F}</x14:id>
        </ext>
      </extLst>
    </cfRule>
  </conditionalFormatting>
  <conditionalFormatting sqref="C15:N15">
    <cfRule type="dataBar" priority="6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{D0888D48-FE26-41ED-90D0-2E4B3CEFABDA}</x14:id>
        </ext>
      </extLst>
    </cfRule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{50B93BC1-2ADC-4402-AA41-0A7A0DE7DB1B}</x14:id>
        </ext>
      </extLst>
    </cfRule>
  </conditionalFormatting>
  <conditionalFormatting sqref="C16:N16">
    <cfRule type="dataBar" priority="8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{D9E24800-C3B8-4C22-A817-F91D00532736}</x14:id>
        </ext>
      </extLst>
    </cfRule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{111DAB9A-50C9-4CC0-A605-E0B3F5985AAE}</x14:id>
        </ext>
      </extLst>
    </cfRule>
  </conditionalFormatting>
  <conditionalFormatting sqref="C18:N18">
    <cfRule type="colorScale" priority="2">
      <colorScale>
        <cfvo type="min"/>
        <cfvo type="max"/>
        <color rgb="FF63BE7B"/>
        <color rgb="FFFFEF9C"/>
      </colorScale>
    </cfRule>
    <cfRule type="colorScale" priority="23">
      <colorScale>
        <cfvo type="min"/>
        <cfvo type="max"/>
        <color rgb="FF63BE7B"/>
        <color rgb="FFFCFCFF"/>
      </colorScale>
    </cfRule>
  </conditionalFormatting>
  <conditionalFormatting sqref="C19:N19">
    <cfRule type="colorScale" priority="1">
      <colorScale>
        <cfvo type="min"/>
        <cfvo type="max"/>
        <color rgb="FF63BE7B"/>
        <color rgb="FFFFEF9C"/>
      </colorScale>
    </cfRule>
    <cfRule type="colorScale" priority="22">
      <colorScale>
        <cfvo type="min"/>
        <cfvo type="max"/>
        <color rgb="FF63BE7B"/>
        <color rgb="FFFCFCFF"/>
      </colorScale>
    </cfRule>
  </conditionalFormatting>
  <conditionalFormatting sqref="P6:P16">
    <cfRule type="dataBar" priority="15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{108C1714-9BF9-4108-8613-8AAE83C56456}</x14:id>
        </ext>
      </extLst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{0FC9D0F1-753D-4D0D-AB5B-1E802B93A934}</x14:id>
        </ext>
      </extLst>
    </cfRule>
    <cfRule type="dataBar" priority="19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{4678424B-151F-4EF3-8FE7-30C1E0486316}</x14:id>
        </ext>
      </extLst>
    </cfRule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{9E46A2A7-0726-4104-9DA0-F942A9808DB0}</x14:id>
        </ext>
      </extLst>
    </cfRule>
  </conditionalFormatting>
  <conditionalFormatting sqref="Q6:Q16">
    <cfRule type="dataBar" priority="13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{120F2F89-52D5-45D2-B37F-2DCBCBEA5E49}</x14:id>
        </ext>
      </extLst>
    </cfRule>
    <cfRule type="dataBar" priority="14">
      <dataBar>
        <cfvo type="min"/>
        <cfvo type="max"/>
        <color rgb="FF48E2E2"/>
      </dataBar>
      <extLst>
        <ext xmlns:x14="http://schemas.microsoft.com/office/spreadsheetml/2009/9/main" uri="{B025F937-C7B1-47D3-B67F-A62EFF666E3E}">
          <x14:id>{93ED64E9-FC1E-4308-8106-28F1A16C07A0}</x14:id>
        </ext>
      </extLst>
    </cfRule>
    <cfRule type="dataBar" priority="18">
      <dataBar>
        <cfvo type="min"/>
        <cfvo type="max"/>
        <color rgb="FF6FE0F7"/>
      </dataBar>
      <extLst>
        <ext xmlns:x14="http://schemas.microsoft.com/office/spreadsheetml/2009/9/main" uri="{B025F937-C7B1-47D3-B67F-A62EFF666E3E}">
          <x14:id>{3B13F47A-7E28-4D51-8B95-2686746739DE}</x14:id>
        </ext>
      </extLst>
    </cfRule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{203693AE-906C-49C5-A76F-67EDA09BA270}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FA18C3-ED66-44C4-86F9-CF702CF1CF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3F59F97-9164-49E3-B5BB-5CB2FBF5CF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C6:N6</xm:sqref>
        </x14:conditionalFormatting>
        <x14:conditionalFormatting xmlns:xm="http://schemas.microsoft.com/office/excel/2006/main">
          <x14:cfRule type="dataBar" id="{9600F498-8EB3-4919-AAAA-D9C24E7A555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F8F8AA1-9B27-4261-B282-EA20D7D55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C7:N7</xm:sqref>
        </x14:conditionalFormatting>
        <x14:conditionalFormatting xmlns:xm="http://schemas.microsoft.com/office/excel/2006/main">
          <x14:cfRule type="dataBar" id="{B8C8C7F7-63BA-4ABC-9890-33BA24A7538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8DEA6E4-0F00-4099-96CE-2C5EC3754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C8:N8</xm:sqref>
        </x14:conditionalFormatting>
        <x14:conditionalFormatting xmlns:xm="http://schemas.microsoft.com/office/excel/2006/main">
          <x14:cfRule type="dataBar" id="{FCF1B482-3C71-428A-9F00-2ECF5EB571B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FB388E1-7AFB-493E-9BDA-A66B197AD4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C9:N9</xm:sqref>
        </x14:conditionalFormatting>
        <x14:conditionalFormatting xmlns:xm="http://schemas.microsoft.com/office/excel/2006/main">
          <x14:cfRule type="dataBar" id="{320A14E9-3B99-4862-9810-C7AD5A7B8A7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A0F2F7E-53A8-40D4-A67B-C666996CDA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C10:N10</xm:sqref>
        </x14:conditionalFormatting>
        <x14:conditionalFormatting xmlns:xm="http://schemas.microsoft.com/office/excel/2006/main">
          <x14:cfRule type="dataBar" id="{9C3F6AA6-D70E-4F5E-B509-96C98C9BA8F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A923932-4EF2-477D-805A-B584DE5EED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C11:N11</xm:sqref>
        </x14:conditionalFormatting>
        <x14:conditionalFormatting xmlns:xm="http://schemas.microsoft.com/office/excel/2006/main">
          <x14:cfRule type="dataBar" id="{53ACCA69-47B8-443B-8D37-4D945194E6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B84DFB-93F9-47C7-A0D2-DDBBB67DE8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C12:N12</xm:sqref>
        </x14:conditionalFormatting>
        <x14:conditionalFormatting xmlns:xm="http://schemas.microsoft.com/office/excel/2006/main">
          <x14:cfRule type="dataBar" id="{0C8247F6-B822-4A55-8992-38954B1219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29293FB-57DA-4E71-AAE2-635429BA0E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C13:N13</xm:sqref>
        </x14:conditionalFormatting>
        <x14:conditionalFormatting xmlns:xm="http://schemas.microsoft.com/office/excel/2006/main">
          <x14:cfRule type="dataBar" id="{C066F709-16F3-47F1-93A8-1BF6283CE1C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300EE66-A059-48AE-964F-FEFB0D8D14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C14:N14</xm:sqref>
        </x14:conditionalFormatting>
        <x14:conditionalFormatting xmlns:xm="http://schemas.microsoft.com/office/excel/2006/main">
          <x14:cfRule type="dataBar" id="{D0888D48-FE26-41ED-90D0-2E4B3CEFAB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0B93BC1-2ADC-4402-AA41-0A7A0DE7D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C15:N15</xm:sqref>
        </x14:conditionalFormatting>
        <x14:conditionalFormatting xmlns:xm="http://schemas.microsoft.com/office/excel/2006/main">
          <x14:cfRule type="dataBar" id="{D9E24800-C3B8-4C22-A817-F91D0053273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DAB9A-50C9-4CC0-A605-E0B3F5985A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C16:N16</xm:sqref>
        </x14:conditionalFormatting>
        <x14:conditionalFormatting xmlns:xm="http://schemas.microsoft.com/office/excel/2006/main">
          <x14:cfRule type="dataBar" id="{108C1714-9BF9-4108-8613-8AAE83C56456}">
            <x14:dataBar minLength="0" maxLength="100" border="1">
              <x14:cfvo type="autoMin"/>
              <x14:cfvo type="autoMax"/>
              <x14:borderColor rgb="FF00C0B7"/>
              <x14:negativeFillColor rgb="FFFF0000"/>
              <x14:axisColor rgb="FF000000"/>
            </x14:dataBar>
          </x14:cfRule>
          <x14:cfRule type="dataBar" id="{0FC9D0F1-753D-4D0D-AB5B-1E802B93A934}">
            <x14:dataBar minLength="0" maxLength="100" border="1">
              <x14:cfvo type="autoMin"/>
              <x14:cfvo type="autoMax"/>
              <x14:borderColor rgb="FF00C0B7"/>
              <x14:negativeFillColor rgb="FFFF0000"/>
              <x14:axisColor rgb="FF000000"/>
            </x14:dataBar>
          </x14:cfRule>
          <x14:cfRule type="dataBar" id="{4678424B-151F-4EF3-8FE7-30C1E04863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E46A2A7-0726-4104-9DA0-F942A9808DB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P6:P16</xm:sqref>
        </x14:conditionalFormatting>
        <x14:conditionalFormatting xmlns:xm="http://schemas.microsoft.com/office/excel/2006/main">
          <x14:cfRule type="dataBar" id="{120F2F89-52D5-45D2-B37F-2DCBCBEA5E4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3ED64E9-FC1E-4308-8106-28F1A16C07A0}">
            <x14:dataBar minLength="0" maxLength="100" border="1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14:cfRule type="dataBar" id="{3B13F47A-7E28-4D51-8B95-2686746739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03693AE-906C-49C5-A76F-67EDA09BA27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Q6:Q16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F1BBF30-B305-4113-8C82-DB3C97FE191D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Formulae!C6:N6</xm:f>
              <xm:sqref>O6</xm:sqref>
            </x14:sparkline>
            <x14:sparkline>
              <xm:f>Formulae!C7:N7</xm:f>
              <xm:sqref>O7</xm:sqref>
            </x14:sparkline>
            <x14:sparkline>
              <xm:f>Formulae!C8:N8</xm:f>
              <xm:sqref>O8</xm:sqref>
            </x14:sparkline>
            <x14:sparkline>
              <xm:f>Formulae!C9:N9</xm:f>
              <xm:sqref>O9</xm:sqref>
            </x14:sparkline>
            <x14:sparkline>
              <xm:f>Formulae!C10:N10</xm:f>
              <xm:sqref>O10</xm:sqref>
            </x14:sparkline>
            <x14:sparkline>
              <xm:f>Formulae!C11:N11</xm:f>
              <xm:sqref>O11</xm:sqref>
            </x14:sparkline>
            <x14:sparkline>
              <xm:f>Formulae!C12:N12</xm:f>
              <xm:sqref>O12</xm:sqref>
            </x14:sparkline>
            <x14:sparkline>
              <xm:f>Formulae!C13:N13</xm:f>
              <xm:sqref>O13</xm:sqref>
            </x14:sparkline>
            <x14:sparkline>
              <xm:f>Formulae!C14:N14</xm:f>
              <xm:sqref>O14</xm:sqref>
            </x14:sparkline>
            <x14:sparkline>
              <xm:f>Formulae!C15:N15</xm:f>
              <xm:sqref>O15</xm:sqref>
            </x14:sparkline>
            <x14:sparkline>
              <xm:f>Formulae!C16:N16</xm:f>
              <xm:sqref>O16</xm:sqref>
            </x14:sparkline>
          </x14:sparklines>
        </x14:sparklineGroup>
        <x14:sparklineGroup displayEmptyCellsAs="gap" markers="1" xr2:uid="{8BEC4ABB-00EC-49E8-BA5E-2A69CA94BC6B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Formulae!C18:N18</xm:f>
              <xm:sqref>O18</xm:sqref>
            </x14:sparkline>
            <x14:sparkline>
              <xm:f>Formulae!C19:N19</xm:f>
              <xm:sqref>O19</xm:sqref>
            </x14:sparkline>
          </x14:sparklines>
        </x14:sparklineGroup>
        <x14:sparklineGroup displayEmptyCellsAs="gap" markers="1" xr2:uid="{AB387327-757E-49A9-8DF9-BBA86B2ACE49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Formulae!P6:P16</xm:f>
              <xm:sqref>P17</xm:sqref>
            </x14:sparkline>
            <x14:sparkline>
              <xm:f>Formulae!Q6:Q16</xm:f>
              <xm:sqref>Q17</xm:sqref>
            </x14:sparkline>
          </x14:sparklines>
        </x14:sparklineGroup>
        <x14:sparklineGroup displayEmptyCellsAs="gap" markers="1" xr2:uid="{223A00E5-3B38-4BD2-A413-ADC7E144CE31}">
          <x14:colorSeries theme="8"/>
          <x14:colorNegative theme="9"/>
          <x14:colorAxis rgb="FF000000"/>
          <x14:colorMarkers theme="8" tint="-0.249977111117893"/>
          <x14:colorFirst theme="8" tint="-0.249977111117893"/>
          <x14:colorLast theme="8" tint="-0.249977111117893"/>
          <x14:colorHigh theme="8" tint="-0.249977111117893"/>
          <x14:colorLow theme="8" tint="-0.249977111117893"/>
          <x14:sparklines>
            <x14:sparkline>
              <xm:f>Formulae!C6:C16</xm:f>
              <xm:sqref>C17</xm:sqref>
            </x14:sparkline>
            <x14:sparkline>
              <xm:f>Formulae!D6:D16</xm:f>
              <xm:sqref>D17</xm:sqref>
            </x14:sparkline>
            <x14:sparkline>
              <xm:f>Formulae!E6:E16</xm:f>
              <xm:sqref>E17</xm:sqref>
            </x14:sparkline>
            <x14:sparkline>
              <xm:f>Formulae!F6:F16</xm:f>
              <xm:sqref>F17</xm:sqref>
            </x14:sparkline>
            <x14:sparkline>
              <xm:f>Formulae!G6:G16</xm:f>
              <xm:sqref>G17</xm:sqref>
            </x14:sparkline>
            <x14:sparkline>
              <xm:f>Formulae!H6:H16</xm:f>
              <xm:sqref>H17</xm:sqref>
            </x14:sparkline>
            <x14:sparkline>
              <xm:f>Formulae!I6:I16</xm:f>
              <xm:sqref>I17</xm:sqref>
            </x14:sparkline>
            <x14:sparkline>
              <xm:f>Formulae!J6:J16</xm:f>
              <xm:sqref>J17</xm:sqref>
            </x14:sparkline>
            <x14:sparkline>
              <xm:f>Formulae!K6:K16</xm:f>
              <xm:sqref>K17</xm:sqref>
            </x14:sparkline>
            <x14:sparkline>
              <xm:f>Formulae!L6:L16</xm:f>
              <xm:sqref>L17</xm:sqref>
            </x14:sparkline>
            <x14:sparkline>
              <xm:f>Formulae!M6:M16</xm:f>
              <xm:sqref>M17</xm:sqref>
            </x14:sparkline>
            <x14:sparkline>
              <xm:f>Formulae!N6:N16</xm:f>
              <xm:sqref>N17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684E-A9F1-4EDE-B52B-408EC4AE42EF}">
  <dimension ref="A1:U29"/>
  <sheetViews>
    <sheetView zoomScale="94" workbookViewId="0">
      <selection activeCell="J20" sqref="J20"/>
    </sheetView>
  </sheetViews>
  <sheetFormatPr defaultRowHeight="14.6" x14ac:dyDescent="0.4"/>
  <cols>
    <col min="1" max="1" width="12.61328125" customWidth="1"/>
  </cols>
  <sheetData>
    <row r="1" spans="1:21" ht="27" x14ac:dyDescent="0.85">
      <c r="A1" s="53" t="s">
        <v>43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ht="15" thickBot="1" x14ac:dyDescent="0.45"/>
    <row r="3" spans="1:21" ht="17.149999999999999" thickBot="1" x14ac:dyDescent="0.6">
      <c r="A3" s="28" t="s">
        <v>44</v>
      </c>
      <c r="B3" s="50" t="s">
        <v>55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2"/>
    </row>
    <row r="4" spans="1:21" ht="17.149999999999999" thickBot="1" x14ac:dyDescent="0.6">
      <c r="A4" s="29" t="s">
        <v>12</v>
      </c>
      <c r="B4" s="50" t="s">
        <v>56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2"/>
    </row>
    <row r="5" spans="1:21" ht="17.149999999999999" thickBot="1" x14ac:dyDescent="0.6">
      <c r="A5" s="29" t="s">
        <v>45</v>
      </c>
      <c r="B5" s="50" t="s">
        <v>57</v>
      </c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2"/>
    </row>
    <row r="6" spans="1:21" ht="17.149999999999999" thickBot="1" x14ac:dyDescent="0.6">
      <c r="A6" s="29" t="s">
        <v>46</v>
      </c>
      <c r="B6" s="50" t="s">
        <v>58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2"/>
    </row>
    <row r="7" spans="1:21" ht="17.149999999999999" thickBot="1" x14ac:dyDescent="0.6">
      <c r="A7" s="29" t="s">
        <v>47</v>
      </c>
      <c r="B7" s="50" t="s">
        <v>60</v>
      </c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2"/>
    </row>
    <row r="8" spans="1:21" ht="17.149999999999999" thickBot="1" x14ac:dyDescent="0.6">
      <c r="A8" s="29" t="s">
        <v>48</v>
      </c>
      <c r="B8" s="50" t="s">
        <v>66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2"/>
    </row>
    <row r="9" spans="1:21" ht="17.149999999999999" thickBot="1" x14ac:dyDescent="0.6">
      <c r="A9" s="29" t="s">
        <v>49</v>
      </c>
      <c r="B9" s="50" t="s">
        <v>67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2"/>
    </row>
    <row r="10" spans="1:21" ht="17.149999999999999" thickBot="1" x14ac:dyDescent="0.6">
      <c r="A10" s="29" t="s">
        <v>50</v>
      </c>
      <c r="B10" s="50" t="s">
        <v>68</v>
      </c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2"/>
    </row>
    <row r="11" spans="1:21" ht="17.149999999999999" thickBot="1" x14ac:dyDescent="0.6">
      <c r="A11" s="29" t="s">
        <v>51</v>
      </c>
      <c r="B11" s="50" t="s">
        <v>70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2"/>
    </row>
    <row r="12" spans="1:21" ht="17.149999999999999" thickBot="1" x14ac:dyDescent="0.6">
      <c r="A12" s="29" t="s">
        <v>35</v>
      </c>
      <c r="B12" s="50" t="s">
        <v>65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2"/>
    </row>
    <row r="13" spans="1:21" ht="17.149999999999999" thickBot="1" x14ac:dyDescent="0.6">
      <c r="A13" s="29" t="s">
        <v>52</v>
      </c>
      <c r="B13" s="50" t="s">
        <v>64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2"/>
    </row>
    <row r="14" spans="1:21" ht="17.149999999999999" thickBot="1" x14ac:dyDescent="0.6">
      <c r="A14" s="29" t="s">
        <v>53</v>
      </c>
      <c r="B14" s="50" t="s">
        <v>63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2"/>
    </row>
    <row r="15" spans="1:21" ht="17.149999999999999" thickBot="1" x14ac:dyDescent="0.6">
      <c r="A15" s="29" t="s">
        <v>41</v>
      </c>
      <c r="B15" s="50" t="s">
        <v>62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2"/>
    </row>
    <row r="16" spans="1:21" ht="17.149999999999999" thickBot="1" x14ac:dyDescent="0.6">
      <c r="A16" s="30" t="s">
        <v>54</v>
      </c>
      <c r="B16" s="50" t="s">
        <v>61</v>
      </c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2"/>
    </row>
    <row r="17" spans="2:19" ht="17.149999999999999" thickTop="1" x14ac:dyDescent="0.55000000000000004"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2:19" ht="16.75" x14ac:dyDescent="0.55000000000000004"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2:19" ht="16.75" x14ac:dyDescent="0.55000000000000004"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2:19" ht="16.75" x14ac:dyDescent="0.55000000000000004"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2:19" ht="16.75" x14ac:dyDescent="0.55000000000000004"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2:19" ht="16.75" x14ac:dyDescent="0.55000000000000004"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2:19" ht="16.75" x14ac:dyDescent="0.55000000000000004"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2:19" ht="16.75" x14ac:dyDescent="0.55000000000000004"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2:19" ht="16.75" x14ac:dyDescent="0.55000000000000004"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2:19" ht="16.75" x14ac:dyDescent="0.55000000000000004"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2:19" ht="16.75" x14ac:dyDescent="0.55000000000000004"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2:19" ht="16.75" x14ac:dyDescent="0.55000000000000004"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2:19" ht="16.75" x14ac:dyDescent="0.55000000000000004"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</row>
  </sheetData>
  <mergeCells count="15">
    <mergeCell ref="B16:U16"/>
    <mergeCell ref="B5:U5"/>
    <mergeCell ref="A1:U1"/>
    <mergeCell ref="B6:U6"/>
    <mergeCell ref="B3:U3"/>
    <mergeCell ref="B4:U4"/>
    <mergeCell ref="B7:U7"/>
    <mergeCell ref="B14:U14"/>
    <mergeCell ref="B15:U15"/>
    <mergeCell ref="B13:U13"/>
    <mergeCell ref="B12:U12"/>
    <mergeCell ref="B8:U8"/>
    <mergeCell ref="B11:U11"/>
    <mergeCell ref="B10:U10"/>
    <mergeCell ref="B9:U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Formulae</vt:lpstr>
      <vt:lpstr>Formulae Details</vt:lpstr>
      <vt:lpstr>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Shayan Anwar</dc:creator>
  <cp:lastModifiedBy>Muhammad Shayan Anwar</cp:lastModifiedBy>
  <dcterms:created xsi:type="dcterms:W3CDTF">2024-11-21T07:23:09Z</dcterms:created>
  <dcterms:modified xsi:type="dcterms:W3CDTF">2024-11-22T17:09:26Z</dcterms:modified>
</cp:coreProperties>
</file>